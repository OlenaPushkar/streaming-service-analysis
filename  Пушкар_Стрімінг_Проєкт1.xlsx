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EDA" sheetId="2" r:id="rId6"/>
    <sheet state="visible" name="SQL" sheetId="3" r:id="rId7"/>
    <sheet state="visible" name="Dashboard" sheetId="4" r:id="rId8"/>
    <sheet state="visible" name="Conclusion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string
</t>
      </text>
    </comment>
    <comment authorId="0" ref="B1">
      <text>
        <t xml:space="preserve">string
</t>
      </text>
    </comment>
    <comment authorId="0" ref="C1">
      <text>
        <t xml:space="preserve">date</t>
      </text>
    </comment>
    <comment authorId="0" ref="D1">
      <text>
        <t xml:space="preserve">number
</t>
      </text>
    </comment>
    <comment authorId="0" ref="E1">
      <text>
        <t xml:space="preserve">category
</t>
      </text>
    </comment>
    <comment authorId="0" ref="F1">
      <text>
        <t xml:space="preserve">category
</t>
      </text>
    </comment>
    <comment authorId="0" ref="G1">
      <text>
        <t xml:space="preserve">number
</t>
      </text>
    </comment>
    <comment authorId="0" ref="H1">
      <text>
        <t xml:space="preserve">boolean (0/1)
</t>
      </text>
    </comment>
    <comment authorId="0" ref="I1">
      <text>
        <t xml:space="preserve">category
</t>
      </text>
    </comment>
    <comment authorId="0" ref="J1">
      <text>
        <t xml:space="preserve">category
</t>
      </text>
    </comment>
    <comment authorId="0" ref="K1">
      <text>
        <t xml:space="preserve">category
</t>
      </text>
    </comment>
    <comment authorId="0" ref="L1">
      <text>
        <t xml:space="preserve">boolean (0/1)
</t>
      </text>
    </comment>
    <comment authorId="0" ref="M1">
      <text>
        <t xml:space="preserve">date
</t>
      </text>
    </comment>
  </commentList>
</comments>
</file>

<file path=xl/sharedStrings.xml><?xml version="1.0" encoding="utf-8"?>
<sst xmlns="http://schemas.openxmlformats.org/spreadsheetml/2006/main" count="4290" uniqueCount="1284">
  <si>
    <t>user_id</t>
  </si>
  <si>
    <t>session_id</t>
  </si>
  <si>
    <t>session_date</t>
  </si>
  <si>
    <t>content_id</t>
  </si>
  <si>
    <t>content_type</t>
  </si>
  <si>
    <t>genre</t>
  </si>
  <si>
    <t>watch_time_minutes</t>
  </si>
  <si>
    <t>completed</t>
  </si>
  <si>
    <t>device</t>
  </si>
  <si>
    <t>country</t>
  </si>
  <si>
    <t>subscription_plan</t>
  </si>
  <si>
    <t>is_churned</t>
  </si>
  <si>
    <t>9555b6d5-7954-4a17-b88a-4e7b4fa51a73</t>
  </si>
  <si>
    <t>c2531041-4f6d-40bb-af22-5921e02c7190</t>
  </si>
  <si>
    <t>Series</t>
  </si>
  <si>
    <t>Thriller</t>
  </si>
  <si>
    <t>Smart TV</t>
  </si>
  <si>
    <t>USA</t>
  </si>
  <si>
    <t>Standard</t>
  </si>
  <si>
    <t>27be1b75-4868-462d-92a6-c2cdbce3c4b2</t>
  </si>
  <si>
    <t>4c842bc2-ab63-4bbf-98e8-51739e8f4a12</t>
  </si>
  <si>
    <t>Desktop</t>
  </si>
  <si>
    <t>India</t>
  </si>
  <si>
    <t>c222a34e-63c5-42e9-9256-4ae3d11dfdcc</t>
  </si>
  <si>
    <t>1c0a623a-d32c-41fe-b487-87912114bebc</t>
  </si>
  <si>
    <t>Movie</t>
  </si>
  <si>
    <t>Comedy</t>
  </si>
  <si>
    <t>Mobile</t>
  </si>
  <si>
    <t>df4e5a0c-c3d9-4fe5-875a-733302d00226</t>
  </si>
  <si>
    <t>c5d41f0f-1228-46c7-b367-3536660c2138</t>
  </si>
  <si>
    <t>Basic</t>
  </si>
  <si>
    <t>0f30f2e1-c444-4f17-bbad-6c867daae99c</t>
  </si>
  <si>
    <t>e301d7ea-a26b-48bf-ac81-98a7ec54a63d</t>
  </si>
  <si>
    <t>Drama</t>
  </si>
  <si>
    <t>Tablet</t>
  </si>
  <si>
    <t>UK</t>
  </si>
  <si>
    <t>17c067c4-6555-4e8e-a860-58f30a443046</t>
  </si>
  <si>
    <t>385065bc-e279-4e08-bc97-e52847c8de06</t>
  </si>
  <si>
    <t>Sci-Fi</t>
  </si>
  <si>
    <t>France</t>
  </si>
  <si>
    <t>7e627fd8-ea8d-4075-9e7b-629493bbaa28</t>
  </si>
  <si>
    <t>fa294b11-d732-4518-8ab2-98e94c690a94</t>
  </si>
  <si>
    <t>Action</t>
  </si>
  <si>
    <t>Germany</t>
  </si>
  <si>
    <t>Premium</t>
  </si>
  <si>
    <t>aca228aa-eefc-44f5-9607-1c76813635b4</t>
  </si>
  <si>
    <t>f4bb2a5c-61cc-4889-82ee-d0829c7feb8b</t>
  </si>
  <si>
    <t>Documentary</t>
  </si>
  <si>
    <t>5fa70396-7671-4ac7-b786-41eb927df9dd</t>
  </si>
  <si>
    <t>80439a67-7873-4c81-843d-17e52f0e3937</t>
  </si>
  <si>
    <t>0a9c40c0-c129-4e8e-b4cf-3d5d51176e9b</t>
  </si>
  <si>
    <t>73522179-16d4-487e-ac18-2c289284cc11</t>
  </si>
  <si>
    <t>35b19400-0546-49ff-a1b3-dc0ec5bf954d</t>
  </si>
  <si>
    <t>8395bd69-89a8-4c0d-acfe-54b3293ac00d</t>
  </si>
  <si>
    <t>aabca6a0-500f-4045-8468-85e154e44ed9</t>
  </si>
  <si>
    <t>c9b30161-6836-4a8f-afc6-4ca4242a28d8</t>
  </si>
  <si>
    <t>775e3686-8cb8-4d13-abf7-b8443a389781</t>
  </si>
  <si>
    <t>ac1980be-ac06-4dcf-89e3-e11601b6f594</t>
  </si>
  <si>
    <t>268ebcc5-2826-4359-949b-d0c2568417d0</t>
  </si>
  <si>
    <t>49777bae-d187-417c-8254-0d49db1f4aad</t>
  </si>
  <si>
    <t>9c190ff3-26df-43f3-9713-b6a6c00acfcf</t>
  </si>
  <si>
    <t>bd78c1c1-a7d4-45e1-90c7-2ce855e45fd2</t>
  </si>
  <si>
    <t>6085dd96-e480-4296-b767-1f5855cb195c</t>
  </si>
  <si>
    <t>e2c8482f-1795-44f4-81ac-316650c3fd54</t>
  </si>
  <si>
    <t>f5f19325-59df-4212-aabe-dc75c6d422b2</t>
  </si>
  <si>
    <t>dd76699d-426d-4098-befd-b0f2eccfe087</t>
  </si>
  <si>
    <t>a28ab605-5dbd-4c9a-8175-47886d7f362d</t>
  </si>
  <si>
    <t>2b3d5826-28c4-4706-814a-c07f596803e9</t>
  </si>
  <si>
    <t>5efc2eb3-faaa-4c92-9a17-8bceb321287a</t>
  </si>
  <si>
    <t>3a4ce4ae-955c-4278-a385-1afadcdcb839</t>
  </si>
  <si>
    <t>02d0f485-0066-4ad7-95c9-2dabc5d21bfd</t>
  </si>
  <si>
    <t>d87481a2-d38b-4acf-a176-db07251ab700</t>
  </si>
  <si>
    <t>f0ae75be-6098-4886-bf8f-07470a0935b4</t>
  </si>
  <si>
    <t>fa3f9a20-a346-45ed-8a6e-dc95c6410236</t>
  </si>
  <si>
    <t>82fad041-94a5-4027-9dd5-517ef20ef63f</t>
  </si>
  <si>
    <t>72783dc3-6917-42fc-bffe-e1f0ab99b40c</t>
  </si>
  <si>
    <t>a7c7ec6c-d674-4da9-b2b9-d9886219f57f</t>
  </si>
  <si>
    <t>5ea7917e-b4e6-489a-8d0d-a057270a8e47</t>
  </si>
  <si>
    <t>ce0c6aca-bf28-4e4f-a327-bbde83dbcc95</t>
  </si>
  <si>
    <t>fcd18e4e-55a6-4cc0-8c5f-152bdb9fc99f</t>
  </si>
  <si>
    <t>3c4fd2fa-3dab-4e30-a9cc-50b98ce8be89</t>
  </si>
  <si>
    <t>c271a2b9-9e20-4b1c-b45b-e63c19af6eab</t>
  </si>
  <si>
    <t>b540bbdd-3421-4505-8bad-5842b0c7e10e</t>
  </si>
  <si>
    <t>076fdbae-fbb2-4573-9757-e9e8d6ee7a6c</t>
  </si>
  <si>
    <t>ca3f4bd9-9ced-4191-bd88-90c41e59a2d9</t>
  </si>
  <si>
    <t>b2194ca9-c66a-464d-8c99-784827ebcbed</t>
  </si>
  <si>
    <t>cbfbc572-76d9-4832-b91f-0d9d02e04995</t>
  </si>
  <si>
    <t>99a7638c-84bf-483c-bf4a-bad40edfdc50</t>
  </si>
  <si>
    <t>43452a22-656f-40e6-b691-025e43b0f2d3</t>
  </si>
  <si>
    <t>a67080d3-1fc2-49f7-ad98-17930165eb74</t>
  </si>
  <si>
    <t>59ec7ed5-6d6f-4f7b-afcb-dfef68e5f17a</t>
  </si>
  <si>
    <t>028d4d64-cab7-4ebe-a841-06ca0fcbcce1</t>
  </si>
  <si>
    <t>0bd0ce6d-87b0-4f89-9e1e-714917a8cd25</t>
  </si>
  <si>
    <t>e682dd70-99c7-45c9-bc73-accdffc34373</t>
  </si>
  <si>
    <t>cea8c1da-e9ab-4ba4-8399-d20243b8d1d0</t>
  </si>
  <si>
    <t>4c1944db-4bc1-4a7b-a3b5-5f7e2cb15465</t>
  </si>
  <si>
    <t>6c4cd909-d97a-47da-9c18-6c3017dd4ab3</t>
  </si>
  <si>
    <t>fd5a124f-58e6-40d5-b089-eb68305e37e9</t>
  </si>
  <si>
    <t>ba7f4161-596a-4ac5-b4ea-597f9e4f6dc8</t>
  </si>
  <si>
    <t>f848c24c-9f10-49df-9804-8d6681cdea01</t>
  </si>
  <si>
    <t>4b1e0d78-8ae8-4f4f-8b9f-8d7989828bd1</t>
  </si>
  <si>
    <t>9a5526e0-565a-4759-8a4f-f14558f8889d</t>
  </si>
  <si>
    <t>6e7847fc-e243-4177-af67-35f08f7cbc7f</t>
  </si>
  <si>
    <t>5431cb7a-0554-4ed0-b649-2aa4167bf3f0</t>
  </si>
  <si>
    <t>788adb38-112e-4c8d-bfb3-c889901ad939</t>
  </si>
  <si>
    <t>7ab1a5e3-dcfe-4264-8184-d0a24bb774c0</t>
  </si>
  <si>
    <t>ed0a3614-1575-4246-a7db-b858bc2ea7ff</t>
  </si>
  <si>
    <t>2e6d25bd-f0d8-4998-ad70-b34ee0d0289b</t>
  </si>
  <si>
    <t>2a4fab58-7f10-4df7-8fc8-bc09c8498c44</t>
  </si>
  <si>
    <t>d4e0d706-43c2-4404-b1d3-017d803d51d3</t>
  </si>
  <si>
    <t>4b2b0839-50b3-440c-b3be-2b732abbd70b</t>
  </si>
  <si>
    <t>13067567-1b00-4c9c-be2f-9e2772ac07b3</t>
  </si>
  <si>
    <t>e6f87c17-d62c-4c21-95f1-c7f3acb3e64b</t>
  </si>
  <si>
    <t>efccc53c-4a2c-4395-9a0a-b7e076634b9f</t>
  </si>
  <si>
    <t>9b28fcc2-c555-4816-8fd6-82749f9e4255</t>
  </si>
  <si>
    <t>ec725b82-56c0-42a1-8d47-990e231097ae</t>
  </si>
  <si>
    <t>66840eb9-97a1-4908-ba37-beb330d04ed6</t>
  </si>
  <si>
    <t>5bfcb81f-d5a6-44af-8d0f-bf9615c9ddc4</t>
  </si>
  <si>
    <t>1c1c516a-ea85-48eb-bbfe-27c326daf4e3</t>
  </si>
  <si>
    <t>0d6cec24-ff05-4fba-a25c-cc685638d0b3</t>
  </si>
  <si>
    <t>11e180aa-0142-4f75-b872-b60cfa4e30e4</t>
  </si>
  <si>
    <t>602f0f2c-910b-4014-a9f2-53412a92677c</t>
  </si>
  <si>
    <t>14795432-14d7-4c50-9f34-d0a0afba4179</t>
  </si>
  <si>
    <t>0e220794-d203-488c-88cd-ded00b7ace05</t>
  </si>
  <si>
    <t>c0408a56-b38d-42cd-be08-a22e2ddc1d77</t>
  </si>
  <si>
    <t>6e959ad2-35d2-47b9-9540-aea26b05aeba</t>
  </si>
  <si>
    <t>fccf05c4-0bcc-46ca-b2a2-882c4303abc5</t>
  </si>
  <si>
    <t>a39d63e0-42e0-49db-a618-8f44fea0a967</t>
  </si>
  <si>
    <t>6a02ec75-2028-432f-9a0e-de79d3f03d51</t>
  </si>
  <si>
    <t>2a2f9f8d-350e-48a6-b10e-2820d3466d5f</t>
  </si>
  <si>
    <t>d1ea3330-e274-4f60-955f-8547212da1b3</t>
  </si>
  <si>
    <t>3e217380-c1cf-468d-87c5-a666763a38ea</t>
  </si>
  <si>
    <t>b25ab80e-b991-4797-9ffb-f8a0f8c6034c</t>
  </si>
  <si>
    <t>ed44e0f0-6a9e-42f8-be21-744850bfbebb</t>
  </si>
  <si>
    <t>fb3762f7-9e74-4de9-822a-28414de33282</t>
  </si>
  <si>
    <t>6931812d-3a30-4049-8042-d7400c34a39f</t>
  </si>
  <si>
    <t>abff0c7b-d03c-4bbc-bbb5-05029698bdcf</t>
  </si>
  <si>
    <t>56bd022f-3f5c-42ae-8636-6ad278a37d73</t>
  </si>
  <si>
    <t>33976f54-a627-411c-a741-92a6a15d00f2</t>
  </si>
  <si>
    <t>b6ca285a-541e-45b5-be11-3c1ba78450ee</t>
  </si>
  <si>
    <t>1d458d56-9038-4a1a-9a87-a62315a3899d</t>
  </si>
  <si>
    <t>f519abf1-f9c1-4157-9a39-2adbc37ae89e</t>
  </si>
  <si>
    <t>448f6e9f-18e5-421f-a0df-b68bb88b1b71</t>
  </si>
  <si>
    <t>edbea3f2-f521-44fa-9153-94cf429fff36</t>
  </si>
  <si>
    <t>68cce369-339b-4ce8-8bb3-66b225a3fcce</t>
  </si>
  <si>
    <t>e14a53ef-4d82-42d2-b959-68a5d33cb76d</t>
  </si>
  <si>
    <t>91bd3fdf-c4cd-4d57-b59b-05fa3ed3bfbf</t>
  </si>
  <si>
    <t>27ff85b1-4fd8-4369-9d16-2eba6049a473</t>
  </si>
  <si>
    <t>95652825-761f-415a-a262-7f4d1b323b5c</t>
  </si>
  <si>
    <t>b2e170f6-c7e5-4b73-8e49-8b2e1dceefa6</t>
  </si>
  <si>
    <t>35c8e688-9c97-4417-9c18-676034c9b3f5</t>
  </si>
  <si>
    <t>ddb450cc-ff73-4758-a1d7-915fc3f7805a</t>
  </si>
  <si>
    <t>12201b28-a5a7-4d49-a22e-53c08f708e40</t>
  </si>
  <si>
    <t>4ea48d8f-6432-4a3f-8467-36c56cd901bb</t>
  </si>
  <si>
    <t>94e5ac7f-655a-4517-9a3d-7e96ff42be60</t>
  </si>
  <si>
    <t>11739873-a904-45ef-98a3-f01780f78648</t>
  </si>
  <si>
    <t>5d9f2ccc-16d1-4003-9422-f5e46b375ff0</t>
  </si>
  <si>
    <t>96502edb-e29d-40d6-8b23-9a58e70c9940</t>
  </si>
  <si>
    <t>cf2f1dd4-10e1-4c52-b35e-ab188709d316</t>
  </si>
  <si>
    <t>fee3fc1b-5458-45ec-a98d-3ce53d29df96</t>
  </si>
  <si>
    <t>29a64a4d-deb4-4630-8615-377a64078a40</t>
  </si>
  <si>
    <t>940b0751-5eb8-40a9-9b15-f2e4b465190a</t>
  </si>
  <si>
    <t>d80b9ba8-a001-4df0-a0c3-4a55f4ade208</t>
  </si>
  <si>
    <t>00295d34-b264-43d5-990e-b9ee9478c1d4</t>
  </si>
  <si>
    <t>b673d4be-bfcc-4553-948a-23d2ad095b96</t>
  </si>
  <si>
    <t>1cd817cc-bb56-4f29-b43f-b2f46f8cb016</t>
  </si>
  <si>
    <t>7f232de8-e289-452d-a0c4-927d05e5ca2f</t>
  </si>
  <si>
    <t>0a2682bb-74b5-464f-a955-c716ab48dd11</t>
  </si>
  <si>
    <t>c143ddd7-e251-4a17-aad7-1e4fb9b4082e</t>
  </si>
  <si>
    <t>8953d9bb-a566-4aa9-ba36-2ac0d6f4cebc</t>
  </si>
  <si>
    <t>265bda70-9559-47b1-918f-5a8c8dab74d2</t>
  </si>
  <si>
    <t>29aa707e-fa35-4a89-81ac-e41c3d950d63</t>
  </si>
  <si>
    <t>9c0df09d-17e5-488d-b34b-65c6c4e59aea</t>
  </si>
  <si>
    <t>7cc3aee3-c448-4572-bff9-3376ba79395d</t>
  </si>
  <si>
    <t>78aa08cd-9063-445b-a3c8-393eaca3decf</t>
  </si>
  <si>
    <t>b1704fb0-fc97-488e-94af-c8c65e8d899c</t>
  </si>
  <si>
    <t>d2764690-5453-4720-8274-3edb9489cd28</t>
  </si>
  <si>
    <t>99396df6-4719-4ac8-a123-9abff78ec15b</t>
  </si>
  <si>
    <t>b3cd5e52-eaf6-4027-9ee2-9ac760316c76</t>
  </si>
  <si>
    <t>794696be-2e94-411d-bb2d-d57ba94e0040</t>
  </si>
  <si>
    <t>5cc9a822-4d37-4593-9d48-6bf1914ca75a</t>
  </si>
  <si>
    <t>a5c6a83d-9223-4b41-9aba-80c6ac6b8f89</t>
  </si>
  <si>
    <t>c75833ca-1fc1-4605-a80c-ddb8049abf9d</t>
  </si>
  <si>
    <t>fae46de8-1da2-490c-a0ce-bd21914393c7</t>
  </si>
  <si>
    <t>91eb585b-43fd-43e1-8f54-77ed048f01ff</t>
  </si>
  <si>
    <t>8a601636-bbdb-441b-9d02-9d7ed876ba3e</t>
  </si>
  <si>
    <t>1fb975e2-5219-45c3-ad87-9e848d88d356</t>
  </si>
  <si>
    <t>bf58c150-71ee-4f38-8948-45fb8a259e2f</t>
  </si>
  <si>
    <t>f43562cc-89f2-4d3c-82ea-dc4d90b4583f</t>
  </si>
  <si>
    <t>86917eca-2434-486a-ae38-2822b8fba5c0</t>
  </si>
  <si>
    <t>e7a5c9c1-b5af-4ee9-99a1-2bd73d7527e8</t>
  </si>
  <si>
    <t>5fc94ee2-b769-4c60-bc17-7ddfd3a50bea</t>
  </si>
  <si>
    <t>d9703f51-7866-451c-a267-2c747789ab37</t>
  </si>
  <si>
    <t>503311e0-86b3-4fe1-819f-4705c38950bb</t>
  </si>
  <si>
    <t>010e6b8e-fcee-4933-bbf9-264b7df21e27</t>
  </si>
  <si>
    <t>e5ded931-624e-4a5d-8da6-530890b9d76e</t>
  </si>
  <si>
    <t>4915bd8e-3ec9-4645-8bcc-380fd28b1966</t>
  </si>
  <si>
    <t>fda9b020-e7d0-4219-94f7-c3171e9e62f9</t>
  </si>
  <si>
    <t>e9d08d3b-398e-47a5-8d29-28a357867969</t>
  </si>
  <si>
    <t>3e0d637b-7954-46cb-9a35-6dfb204eec1f</t>
  </si>
  <si>
    <t>1fa7d303-6632-47fc-bb8e-42b0551926d7</t>
  </si>
  <si>
    <t>84d4d4ec-af8b-4874-b1c9-025768572ecb</t>
  </si>
  <si>
    <t>8eeec716-85d9-4c1b-ab4f-425e335a1391</t>
  </si>
  <si>
    <t>9df1ec81-bc54-4ab3-b415-8b600bafa67a</t>
  </si>
  <si>
    <t>686cdeaf-9dc7-41aa-8cd3-b640d87f8fab</t>
  </si>
  <si>
    <t>a5e3c89f-2db3-4813-8888-08b9fc23e8aa</t>
  </si>
  <si>
    <t>74424556-689f-44ea-908e-077795b71925</t>
  </si>
  <si>
    <t>c8311958-82ca-45dd-aa86-33f36b3558d2</t>
  </si>
  <si>
    <t>2f12c31c-0198-4d27-a3dd-1c7f07275eca</t>
  </si>
  <si>
    <t>b0fcf3a0-2a14-4784-a94f-ca099080a505</t>
  </si>
  <si>
    <t>801072b8-ab2f-4ad9-9dfe-8d408829bb65</t>
  </si>
  <si>
    <t>3a30868e-46a1-409b-9047-bcba678cc0c3</t>
  </si>
  <si>
    <t>51517caf-91c8-4918-b48c-3af0a7be5443</t>
  </si>
  <si>
    <t>b5edc7eb-35d3-47e0-ab36-8a8f2549a9b7</t>
  </si>
  <si>
    <t>cadc401e-d21f-47ba-81c0-5eab71d12f7f</t>
  </si>
  <si>
    <t>ad76e211-7f49-492c-ae95-f5b674bdbf67</t>
  </si>
  <si>
    <t>c8185e5a-c72e-4c73-bd04-da3ddbcf116b</t>
  </si>
  <si>
    <t>fd940478-bbb6-4059-8a59-f5dc395ac924</t>
  </si>
  <si>
    <t>69a27add-9346-463c-b9a8-7c03058f9ff4</t>
  </si>
  <si>
    <t>45b18f59-08b3-4bfb-a763-615035546e70</t>
  </si>
  <si>
    <t>92d2037a-4a59-46bd-9511-b256c0d636e5</t>
  </si>
  <si>
    <t>5d30c8f4-0ca1-4e22-8da8-07040a33c8b5</t>
  </si>
  <si>
    <t>77c7af5d-8dd9-47d4-9426-2bbe4000e2b3</t>
  </si>
  <si>
    <t>d6189322-aed1-4a62-b195-d8f18f71b0d5</t>
  </si>
  <si>
    <t>3e0af3ee-84ef-4608-a237-f217cd91d316</t>
  </si>
  <si>
    <t>723431c1-e3cc-4cd1-bbf3-3bf3e28c60ab</t>
  </si>
  <si>
    <t>ab804901-e24d-4a03-af7c-9e476fa3db08</t>
  </si>
  <si>
    <t>1cd33a70-b12d-452d-b58d-386a849cc130</t>
  </si>
  <si>
    <t>cbf47a47-bafb-4c41-8377-eb7fd4e36136</t>
  </si>
  <si>
    <t>338db82e-4845-4045-9a43-9411d08820ce</t>
  </si>
  <si>
    <t>cdeb699f-a6fe-42af-a1e1-5d8ab2da3dc4</t>
  </si>
  <si>
    <t>c3c28613-18a1-4fcf-ab55-c7313c8298d1</t>
  </si>
  <si>
    <t>bf58abbd-3145-4f8d-94f7-1c879dca9181</t>
  </si>
  <si>
    <t>f747cad3-cd06-4b7f-9af4-17eb699b1047</t>
  </si>
  <si>
    <t>f1254b02-3b54-4015-b8ea-558f1a1ea45a</t>
  </si>
  <si>
    <t>4f2be715-75ad-4be8-9807-6a1f94a704ea</t>
  </si>
  <si>
    <t>0ad9620c-26a0-4b36-b75e-9378f67473f9</t>
  </si>
  <si>
    <t>c89f2909-25a2-4afb-8a9b-8c1ed4733bb6</t>
  </si>
  <si>
    <t>c524eafd-3d9d-4ef3-b9c1-85a6c57745be</t>
  </si>
  <si>
    <t>a680621f-be70-4c41-9ee6-baf80f02ef60</t>
  </si>
  <si>
    <t>368f8052-8f38-4308-abc1-f2ec6bc7ae68</t>
  </si>
  <si>
    <t>a3ada5c8-e43b-4280-93bd-e818b96f1439</t>
  </si>
  <si>
    <t>02d41c01-e6cb-4e52-9089-56c06a54b593</t>
  </si>
  <si>
    <t>def7f2a7-0259-46d8-a5c3-bd24b0a253d5</t>
  </si>
  <si>
    <t>6787d94c-6a2f-445d-a6e8-1df4f45d02db</t>
  </si>
  <si>
    <t>6c23fcf8-1061-41f6-9d9c-857e88b0387e</t>
  </si>
  <si>
    <t>920a9b43-96b9-4d63-aa51-9d7e79c4e17b</t>
  </si>
  <si>
    <t>0e381030-af91-4c1c-b422-4d9f5f38af02</t>
  </si>
  <si>
    <t>e1a8fc40-fa2b-4c87-beb8-c8396e16208a</t>
  </si>
  <si>
    <t>65da896d-4aec-423c-abca-4823d9600817</t>
  </si>
  <si>
    <t>2fdc0e72-9c74-4612-a4de-ede9a173d9de</t>
  </si>
  <si>
    <t>08a0ad10-7349-423b-b022-42cc2bdb3f0c</t>
  </si>
  <si>
    <t>1ba61672-1517-4ac2-baf0-c1ee2d2fa617</t>
  </si>
  <si>
    <t>f76b5e22-f44c-4dbc-b136-6ef01afe0e9c</t>
  </si>
  <si>
    <t>8dcf681d-449d-415d-8180-017d0cb06a3d</t>
  </si>
  <si>
    <t>4808e33e-8d99-4a63-a12a-b31521213e24</t>
  </si>
  <si>
    <t>0bc1fe7d-4ae0-4cd8-8ef2-f52730c4b834</t>
  </si>
  <si>
    <t>c3190c5a-ebec-47bf-959e-befd7e8edc5e</t>
  </si>
  <si>
    <t>45e1218b-b327-4faf-89a5-b1d097df2b95</t>
  </si>
  <si>
    <t>722469a6-5908-409a-92bf-ed01d013506a</t>
  </si>
  <si>
    <t>ae2d33bd-b46c-4a54-be80-def9ec644016</t>
  </si>
  <si>
    <t>ad871fd6-1207-4abd-8dc2-0c67e81dec62</t>
  </si>
  <si>
    <t>ac658631-4ac6-4a04-84f9-80a2a16807b0</t>
  </si>
  <si>
    <t>b38c6c6f-c373-4211-920b-fafa386c0bff</t>
  </si>
  <si>
    <t>2ea00ee8-d24e-4e20-a19c-ff3fdae4e050</t>
  </si>
  <si>
    <t>d5834609-6077-42f5-8af4-354b91589df9</t>
  </si>
  <si>
    <t>4fa7306b-bb92-40a8-b449-0f50c45f9d56</t>
  </si>
  <si>
    <t>f98c1823-54e9-43a6-bd9b-5e7e6189bcb1</t>
  </si>
  <si>
    <t>6f4cf935-cbac-4973-a056-cbe4bb920b5c</t>
  </si>
  <si>
    <t>2324f585-6491-40ae-aa57-7777456d2e9e</t>
  </si>
  <si>
    <t>018027d0-4333-40c3-a1f0-c5f490423063</t>
  </si>
  <si>
    <t>af088b4b-6484-49d4-b540-410b6808dc81</t>
  </si>
  <si>
    <t>761ad23e-f36d-4e9c-bb27-bd7749d83dc4</t>
  </si>
  <si>
    <t>4fd14621-a9f9-499a-bece-03004984bf02</t>
  </si>
  <si>
    <t>a79f10a2-7602-44d2-a428-231e2a07d254</t>
  </si>
  <si>
    <t>b4d1630a-3268-492b-8c70-e988bd381744</t>
  </si>
  <si>
    <t>a9f2a42b-8cee-48d6-a1d2-191a09f5f7ab</t>
  </si>
  <si>
    <t>dc36bdce-2a1a-4b21-8944-9a97fa7a14b0</t>
  </si>
  <si>
    <t>54e856df-478b-4e1c-9c5f-5b7a7ce7194b</t>
  </si>
  <si>
    <t>f61c4ded-e03a-44e2-9bc2-bcc704861b09</t>
  </si>
  <si>
    <t>f81255fb-4d0e-4725-b837-0ac908c61717</t>
  </si>
  <si>
    <t>a684dea0-26d4-49e6-8d11-3e4d6153cd45</t>
  </si>
  <si>
    <t>a4dc54cf-c534-492c-9aaf-3dde8ef80189</t>
  </si>
  <si>
    <t>a35fab85-88c8-4221-a567-29813701687b</t>
  </si>
  <si>
    <t>349afde3-1c45-4e92-af32-cdf6074001e8</t>
  </si>
  <si>
    <t>03c41edf-304c-453b-a3a8-0de7663b8752</t>
  </si>
  <si>
    <t>31389d17-cd94-4163-8dfc-ed8375a92150</t>
  </si>
  <si>
    <t>ec3b9a45-fe86-465c-98ce-17601b67ea42</t>
  </si>
  <si>
    <t>20cf66ad-b674-48c1-b4c8-5b46cc6cac66</t>
  </si>
  <si>
    <t>327a1ff4-b45b-4d37-9da1-1aa2b5b52170</t>
  </si>
  <si>
    <t>e95ae987-f1cb-466e-832a-b1b44f43e091</t>
  </si>
  <si>
    <t>432a85b2-69fc-4c4c-8f54-1ff51eceaac1</t>
  </si>
  <si>
    <t>2c8ae4fa-0da0-4643-a850-6ee89c3b99c1</t>
  </si>
  <si>
    <t>23d5ef9e-9808-42ad-85df-d3ca988fa60a</t>
  </si>
  <si>
    <t>d4be6407-7ee5-4d0a-aeea-b9814647e382</t>
  </si>
  <si>
    <t>210601b0-e55b-4a61-826b-8d5423feb872</t>
  </si>
  <si>
    <t>7d119172-e555-48cd-985c-3dab0b06e1d0</t>
  </si>
  <si>
    <t>5b547acb-3b47-4a27-a975-1f95987bd732</t>
  </si>
  <si>
    <t>4cab5ab8-87b9-4ca2-b6da-87656c1242b5</t>
  </si>
  <si>
    <t>72896e54-8c82-48ff-9988-bd46781fbae6</t>
  </si>
  <si>
    <t>3f74c6e0-41b4-4a6d-9609-e27406fa8f94</t>
  </si>
  <si>
    <t>5f2784f1-738f-48e5-9a2d-5998fd1a71e2</t>
  </si>
  <si>
    <t>82525a36-9421-4554-a2fe-b8f25d6fa81f</t>
  </si>
  <si>
    <t>3c0d9149-48f7-4efb-a8a3-c4ac23cd1158</t>
  </si>
  <si>
    <t>b64551cd-ae0f-4ab0-8e39-11338339f035</t>
  </si>
  <si>
    <t>0316d37e-c626-43fb-8105-b5bf5f3a575d</t>
  </si>
  <si>
    <t>ff3b5db1-859d-4173-9965-02b22d8ba8bc</t>
  </si>
  <si>
    <t>375d0e51-78af-4ffe-9c46-4899a40225c3</t>
  </si>
  <si>
    <t>70fdd411-9ac6-42ea-ace1-f5ef637ab4d9</t>
  </si>
  <si>
    <t>1934952f-6761-4457-9dfe-778a2c17d3e2</t>
  </si>
  <si>
    <t>ba39c558-577b-48d4-a010-277eba6e30bf</t>
  </si>
  <si>
    <t>09ea5855-8aca-4842-a620-7adcb2a5223e</t>
  </si>
  <si>
    <t>8bdd2c84-8faa-453f-9fe9-81a95d52d37e</t>
  </si>
  <si>
    <t>13713dc1-d2b3-45cb-8d07-a5699a4f42b8</t>
  </si>
  <si>
    <t>5c9a7da9-a01c-4a3d-9ada-292cd3aa11ae</t>
  </si>
  <si>
    <t>575c4a9a-e985-47c1-8937-486a1a122092</t>
  </si>
  <si>
    <t>5c253bef-b826-4d12-a178-8eb8be55793a</t>
  </si>
  <si>
    <t>14d0e757-89e5-47a9-994d-e9498e2fae0e</t>
  </si>
  <si>
    <t>52a868bd-a110-4cd1-9d49-1cef95365c08</t>
  </si>
  <si>
    <t>2a8bc6f6-9f66-4919-9832-91be68522a8b</t>
  </si>
  <si>
    <t>c2c7f1a6-9fe9-4e14-a54c-718126c54436</t>
  </si>
  <si>
    <t>df704439-f2a8-4673-8ce1-4d71e0250fd7</t>
  </si>
  <si>
    <t>9a5b623b-103d-472e-905e-db7dba728d7a</t>
  </si>
  <si>
    <t>a7fe6787-3535-470d-84f7-d6347edf453a</t>
  </si>
  <si>
    <t>64a2264e-b6aa-4141-8097-4b3b00177622</t>
  </si>
  <si>
    <t>bdfaff63-9cde-421b-a64f-e1c25ff6e018</t>
  </si>
  <si>
    <t>70a090e1-063a-415d-b470-7de5d8a40e6b</t>
  </si>
  <si>
    <t>dad90ba6-f330-431e-9f7a-50b0ef104421</t>
  </si>
  <si>
    <t>804cdee2-b52d-496f-bbd3-c68f905a1a42</t>
  </si>
  <si>
    <t>ce742e2f-08fb-43b2-afc8-843c91216fc4</t>
  </si>
  <si>
    <t>4a8b2fae-6209-41c3-afb6-88bbe3a56430</t>
  </si>
  <si>
    <t>1c91f5bc-feb7-44f3-b58a-769dd9becc84</t>
  </si>
  <si>
    <t>52c71bbd-94b2-4c54-be2b-0f3a655ff99f</t>
  </si>
  <si>
    <t>b57a7fad-b34c-460d-bbb6-c71072748683</t>
  </si>
  <si>
    <t>902342f6-055e-42db-b7e0-7c66a91fbb48</t>
  </si>
  <si>
    <t>c394d576-a075-4402-beff-297d986fad7e</t>
  </si>
  <si>
    <t>189628c5-4d8c-4f7a-a7bb-345f76883842</t>
  </si>
  <si>
    <t>17ab7bb5-6bbc-41c1-ab16-8ae6ca3fb823</t>
  </si>
  <si>
    <t>89090502-c71b-4550-b0bf-5a520322d289</t>
  </si>
  <si>
    <t>045d6a25-4b29-41f4-996b-ef0c44f8dbfe</t>
  </si>
  <si>
    <t>51ccfaaa-931f-4649-b56a-07c364c8d42b</t>
  </si>
  <si>
    <t>8af76ab2-b4af-473e-951c-c8252a4d5f77</t>
  </si>
  <si>
    <t>667ee8a0-0529-417d-846d-159eb5c2c5dc</t>
  </si>
  <si>
    <t>93750668-45f4-4876-9599-32ebc414f885</t>
  </si>
  <si>
    <t>85e6d786-e059-4b33-a79b-2d1e1ebf8378</t>
  </si>
  <si>
    <t>72fd394f-9ad9-4036-b280-91be7d74f38d</t>
  </si>
  <si>
    <t>ef55e844-00e4-4cd6-9b1c-7ac0641d628f</t>
  </si>
  <si>
    <t>12216277-7ff0-4906-b27e-2dd2918066d2</t>
  </si>
  <si>
    <t>716077f5-d07a-4e7f-9b90-9128fd167e4b</t>
  </si>
  <si>
    <t>c084fb5f-3eb2-45ef-8799-35f612dab1f0</t>
  </si>
  <si>
    <t>81f8c72f-1481-46b5-949d-81b954d57ee1</t>
  </si>
  <si>
    <t>cc0ad936-7b33-4e5f-8b00-bc7cb6c3763f</t>
  </si>
  <si>
    <t>911f493c-450a-4e69-81fc-bf688e89f54b</t>
  </si>
  <si>
    <t>df13c215-17ed-4418-bfdc-957858e71b7b</t>
  </si>
  <si>
    <t>7c5246f1-8fe5-475b-b771-877e141e39e7</t>
  </si>
  <si>
    <t>cc7a74ed-7b30-4b72-935a-71939c552fa4</t>
  </si>
  <si>
    <t>8a624be8-c7e2-4825-8fd2-64ff06fb6410</t>
  </si>
  <si>
    <t>a89f2676-889f-4930-95da-a31b2321f0fe</t>
  </si>
  <si>
    <t>5c80560b-3bb9-4a4b-b803-fff38f9b0bda</t>
  </si>
  <si>
    <t>2395411a-7eb2-4f65-b0e3-9d2b9047d254</t>
  </si>
  <si>
    <t>037ab33e-0d9b-4e11-88c5-559170d76013</t>
  </si>
  <si>
    <t>1c2c611c-a379-4ed2-b6a2-4b1756db239d</t>
  </si>
  <si>
    <t>ce441882-4338-495e-919c-f0080c81a049</t>
  </si>
  <si>
    <t>e4a45932-74d0-4ab9-a0ec-de9936870d67</t>
  </si>
  <si>
    <t>85e80c9f-67b0-4c96-a9b3-cbfd60ff1e50</t>
  </si>
  <si>
    <t>4288a9a1-fa79-4e60-b8ee-c6212569cc11</t>
  </si>
  <si>
    <t>35d74923-c983-453c-bcf9-cb1aa31f5461</t>
  </si>
  <si>
    <t>07661109-02b4-4eda-b300-49e7eb582681</t>
  </si>
  <si>
    <t>28055635-3869-41d5-84f6-5b194e682ad2</t>
  </si>
  <si>
    <t>3e44bf90-2412-41e4-a7e4-0f5234bdfb0e</t>
  </si>
  <si>
    <t>e9d6cff8-7b67-4167-9af2-8d3d76a9a58a</t>
  </si>
  <si>
    <t>a99b639d-535c-4072-9d0d-0080c51c0c7a</t>
  </si>
  <si>
    <t>564ae10a-665d-4517-b4eb-a27eaac43839</t>
  </si>
  <si>
    <t>a3cf5324-30cf-4b93-96e5-586b3b725f5e</t>
  </si>
  <si>
    <t>b55b6aff-bf32-48e1-b573-7a481804ab11</t>
  </si>
  <si>
    <t>80137073-7949-42a2-8a6e-15267192b7fc</t>
  </si>
  <si>
    <t>9e9d3b77-ba34-4580-ada0-a0af0ffd10c7</t>
  </si>
  <si>
    <t>e317123a-3d0a-45e7-ab2d-40c7c2d99561</t>
  </si>
  <si>
    <t>7324cb18-d6b1-4336-ba28-31ca0e8cff18</t>
  </si>
  <si>
    <t>3c84adf5-4e2d-41d6-a4ed-95c1edf06ddc</t>
  </si>
  <si>
    <t>55d925ca-19d2-4870-8b4b-99823ab88289</t>
  </si>
  <si>
    <t>289cae08-1512-4e13-a01e-fcccde9a2e3a</t>
  </si>
  <si>
    <t>7d03dd28-2400-4dbe-aac3-3886c89c59fa</t>
  </si>
  <si>
    <t>63592e06-dbcc-48e9-91df-13abc6879c27</t>
  </si>
  <si>
    <t>b3504b38-e3ff-4b8c-87c8-24e4408c58f9</t>
  </si>
  <si>
    <t>021a5a10-cede-48a9-9498-ae4d578c2f3f</t>
  </si>
  <si>
    <t>c38297c0-5c2d-4845-8d46-1211dd85171a</t>
  </si>
  <si>
    <t>d8340c85-07f0-41c7-b24b-3223f64dbaae</t>
  </si>
  <si>
    <t>776df3b5-3c76-449f-9d27-b701030db9c4</t>
  </si>
  <si>
    <t>d8946afe-c047-4884-b944-14b823db46e8</t>
  </si>
  <si>
    <t>9fd5239e-77f6-4f4e-bd4b-353d6f2363a4</t>
  </si>
  <si>
    <t>cef3adf4-6ba5-415e-89fc-ba056171d3cd</t>
  </si>
  <si>
    <t>0bd549c5-7155-4904-ac8a-20f1ab44be10</t>
  </si>
  <si>
    <t>72d3bb8e-8315-40fd-b21d-0b21ed152c67</t>
  </si>
  <si>
    <t>72ad9dfb-1f24-4379-9b2d-87eb624c740a</t>
  </si>
  <si>
    <t>a4118874-d703-47f2-975d-90c21b820dfe</t>
  </si>
  <si>
    <t>daacae0c-c983-43fa-9102-9ff49930036a</t>
  </si>
  <si>
    <t>5b8f3e0c-1d85-48ad-a997-c91489e70bdf</t>
  </si>
  <si>
    <t>b383994c-68ee-4038-8538-fb0f53d6faeb</t>
  </si>
  <si>
    <t>4e61b69c-a0a6-4db5-90c5-75503e7bf4d9</t>
  </si>
  <si>
    <t>22ebc7ef-d2fc-445f-9484-ceb9c0ca0db3</t>
  </si>
  <si>
    <t>ad217155-31ef-4d1e-9a2b-3cfde1b2ff4c</t>
  </si>
  <si>
    <t>b0537fbb-2bcd-4cf3-adfc-297ac2888198</t>
  </si>
  <si>
    <t>fad52d46-63d0-49f4-89ce-689bf9687434</t>
  </si>
  <si>
    <t>ce9aa076-faac-4f76-af30-a7a2585340c4</t>
  </si>
  <si>
    <t>74d542f8-4878-4447-81ab-db852b7e4e1e</t>
  </si>
  <si>
    <t>a7ba2d5f-dbea-4c1a-b81b-7f03fb0a4705</t>
  </si>
  <si>
    <t>a0b92d95-6ae4-437c-a9b2-fa46b17921ea</t>
  </si>
  <si>
    <t>f7789a6b-1873-47f0-b4e1-be49ad2e1422</t>
  </si>
  <si>
    <t>92e32c2d-99a2-481c-95a9-242b435f163c</t>
  </si>
  <si>
    <t>6bca8e92-a956-4b55-8d2f-c15c68a802f4</t>
  </si>
  <si>
    <t>d729d6ba-2107-4ff0-a081-671b4b040b7a</t>
  </si>
  <si>
    <t>ddc94bc1-a254-4651-b5d2-7b82cec23b2c</t>
  </si>
  <si>
    <t>0b417b8a-62b6-4721-8ee9-cd8b2b6a1d95</t>
  </si>
  <si>
    <t>ed85977a-071a-4e4a-8b6e-d5e8c8bf8fc4</t>
  </si>
  <si>
    <t>e6086f36-94df-41fd-8f36-d9496bdb46b7</t>
  </si>
  <si>
    <t>c3b9996f-cfe3-4f57-9675-50223d11c0b2</t>
  </si>
  <si>
    <t>50ac8066-6726-4be4-9854-14bec131ae69</t>
  </si>
  <si>
    <t>5ac07fc5-9398-4ed8-86f1-87c218059deb</t>
  </si>
  <si>
    <t>f8a62a4d-cc63-4e30-870b-28e78adbefc1</t>
  </si>
  <si>
    <t>eb2be416-7643-4a83-92c6-8435d8cf09e5</t>
  </si>
  <si>
    <t>08d04616-2ec7-41e1-89eb-4cd506aa5daf</t>
  </si>
  <si>
    <t>53d495a2-f619-4158-b037-e046991c6317</t>
  </si>
  <si>
    <t>8f5da783-03c9-478a-8261-1870c6ef05d1</t>
  </si>
  <si>
    <t>43e65fc3-02e2-44b3-972f-4c94e72e1b7f</t>
  </si>
  <si>
    <t>5932b01b-eb5f-4e5f-8791-8e1bebc57194</t>
  </si>
  <si>
    <t>95a219dd-a8ec-4c05-a5c5-868c211d73dd</t>
  </si>
  <si>
    <t>7b262c4d-7ea5-437b-91df-cad84acca13d</t>
  </si>
  <si>
    <t>3408850e-0fdc-46f4-aee6-0ff3492cd84e</t>
  </si>
  <si>
    <t>e8896d30-802f-457f-9420-4c8205a04d2c</t>
  </si>
  <si>
    <t>485184e3-f6b5-4674-8d0c-61fd4700feb8</t>
  </si>
  <si>
    <t>9fb5559e-8b9e-4fb2-8c8c-cf474aa14f44</t>
  </si>
  <si>
    <t>4278b8db-900c-4efd-a0bd-2721d0d67780</t>
  </si>
  <si>
    <t>7d4e5a20-47d2-4aba-8d16-422e94db2613</t>
  </si>
  <si>
    <t>c30b4d6d-9575-4095-938e-adb6e460a675</t>
  </si>
  <si>
    <t>f3b655d4-dbe4-4212-abbd-ea7970dd8ccf</t>
  </si>
  <si>
    <t>8a2de86e-6910-424a-a03f-a8f01549cdee</t>
  </si>
  <si>
    <t>ffef92b9-0356-469f-bf47-01b7b79e1ede</t>
  </si>
  <si>
    <t>977f500b-5e2a-4857-a558-abe17fc8c2e7</t>
  </si>
  <si>
    <t>cfcfd418-da7f-42c1-ac5b-a7027f847918</t>
  </si>
  <si>
    <t>b3daba5e-4734-4b3e-b935-da4cb8b12e28</t>
  </si>
  <si>
    <t>cabd3291-ee2f-4d98-8c0e-4763d2b2847a</t>
  </si>
  <si>
    <t>92c6cedf-29e6-42e4-9685-da721a47dfab</t>
  </si>
  <si>
    <t>ed7631fc-71e1-4a87-a8c9-0d4157f0d170</t>
  </si>
  <si>
    <t>a25a2423-943a-464e-b110-48754eb43ad4</t>
  </si>
  <si>
    <t>d5ad0ef5-1a29-4182-9e3f-6d3e27b097f3</t>
  </si>
  <si>
    <t>2869ef61-0215-485d-85af-2829b143f50c</t>
  </si>
  <si>
    <t>e965a118-e8d8-4d35-91f8-ddcb2db41871</t>
  </si>
  <si>
    <t>aa0d9271-ce65-4725-a591-e4b88dc64391</t>
  </si>
  <si>
    <t>e6beee44-2365-43c3-aa62-9932a02b46a7</t>
  </si>
  <si>
    <t>2ae3d68a-6ce1-4840-bcaf-0f71877cac55</t>
  </si>
  <si>
    <t>68ffacdf-e576-4df6-a8f0-98820d735f70</t>
  </si>
  <si>
    <t>e0cece0a-ed47-4d9b-aaaf-b17ef4b346d9</t>
  </si>
  <si>
    <t>5d0b2467-2a94-470c-a415-39213f607de4</t>
  </si>
  <si>
    <t>b54d83e5-9e24-4b8e-a68b-25f6f005398f</t>
  </si>
  <si>
    <t>a2451d09-1530-4104-a579-03122ee6df1f</t>
  </si>
  <si>
    <t>5a2e6a99-7166-454b-9305-75711e69b4b0</t>
  </si>
  <si>
    <t>24fdd6d6-9967-4c72-a15e-284c0fde468a</t>
  </si>
  <si>
    <t>d03a354e-bd06-4866-8a24-6e9eede19ece</t>
  </si>
  <si>
    <t>8bf00164-3ae1-4cef-8aef-74fd99733f34</t>
  </si>
  <si>
    <t>a231a721-dce8-4f15-92fb-46368c0fe4e7</t>
  </si>
  <si>
    <t>407fa183-c50a-481a-afc7-0d87c5d23c2e</t>
  </si>
  <si>
    <t>03ed8da8-a35d-4f4e-abe5-7d814dc59d0e</t>
  </si>
  <si>
    <t>008cd7aa-0166-40b7-b02f-ee43ee908ba1</t>
  </si>
  <si>
    <t>d5bccf5e-b9d2-4ef5-8fd2-9271b440d4eb</t>
  </si>
  <si>
    <t>8929c172-91ac-4d85-9b61-be5b6d867b33</t>
  </si>
  <si>
    <t>ef9f1d90-6706-4199-9aaa-caa89bec11a0</t>
  </si>
  <si>
    <t>349b5516-fdce-483c-b43c-02bb56ff8ca6</t>
  </si>
  <si>
    <t>bded53f6-53e0-4d41-8847-24e1687e3c82</t>
  </si>
  <si>
    <t>4827e218-059e-47ba-8c60-8ede0f559ed8</t>
  </si>
  <si>
    <t>acb76fb8-a022-43b7-83c0-6d98422b80ef</t>
  </si>
  <si>
    <t>53295c46-1fa9-47e3-b5df-1a9da2faf159</t>
  </si>
  <si>
    <t>fce3c44f-5bca-4ecb-b0fe-4514ad645c15</t>
  </si>
  <si>
    <t>cba74627-17db-4ca9-9b10-f90792d6a2bf</t>
  </si>
  <si>
    <t>62b7e3e7-57ad-485e-9d38-f988922dcb59</t>
  </si>
  <si>
    <t>cdd1ee41-d2f0-44fd-9358-447c333199ac</t>
  </si>
  <si>
    <t>cc728558-f887-4123-b263-dd1133f232a2</t>
  </si>
  <si>
    <t>fa0a05a1-e7bc-4d09-81e6-da0a93aabc3c</t>
  </si>
  <si>
    <t>c402bb0e-b2f9-404b-9e28-00bec0f2b58b</t>
  </si>
  <si>
    <t>d097e0fb-4677-4407-80c6-78b73eb9949c</t>
  </si>
  <si>
    <t>938e0f3e-acad-487e-9a6c-650f016e5a82</t>
  </si>
  <si>
    <t>eb364c6f-7714-4922-b59b-4ee95015870d</t>
  </si>
  <si>
    <t>329d35ae-81e1-4c3f-982b-943f5f55260f</t>
  </si>
  <si>
    <t>4adf21e2-8b91-4fa6-9021-bfea02c8bcab</t>
  </si>
  <si>
    <t>584ca7a8-3f0a-4149-98aa-622eeec051bb</t>
  </si>
  <si>
    <t>d54b860f-cda9-43f1-99c7-55ad5e54435b</t>
  </si>
  <si>
    <t>f2a5b075-b4fe-4b14-b2b4-f0cc2636c72f</t>
  </si>
  <si>
    <t>c3d3c930-0c5e-4036-be4c-8b268fb624c0</t>
  </si>
  <si>
    <t>ecb18ea9-16e9-4a55-a139-8e30880243b7</t>
  </si>
  <si>
    <t>b0376d5a-eaa9-4301-9601-d83e6a3ad188</t>
  </si>
  <si>
    <t>3012d17b-e2dc-403e-bc0e-288a66b9645f</t>
  </si>
  <si>
    <t>0d9e5607-9077-4355-a94e-e1aab8b5edf9</t>
  </si>
  <si>
    <t>daac3c58-e266-44c0-9848-d32e65f628ac</t>
  </si>
  <si>
    <t>c06162c6-e851-4c2f-8b01-ca702018ffc8</t>
  </si>
  <si>
    <t>68f111c6-ddef-4680-9eb8-39597f119389</t>
  </si>
  <si>
    <t>02d916a8-bcea-46fd-bae7-1e959f0a1049</t>
  </si>
  <si>
    <t>de7d0a5f-c4eb-404b-993c-abb7b3e2e59b</t>
  </si>
  <si>
    <t>8acdefbc-eb10-4fc3-8eaa-f186c92ea841</t>
  </si>
  <si>
    <t>b71ee27c-e595-468f-8a4d-d54b46828f04</t>
  </si>
  <si>
    <t>7e78f595-3c62-4604-9dc9-6d0d13930152</t>
  </si>
  <si>
    <t>9198047b-e935-4784-ad56-33bbfbec6400</t>
  </si>
  <si>
    <t>6053a94b-9db0-4e9a-8c24-8f080cf1a812</t>
  </si>
  <si>
    <t>c2e286fe-d887-485b-a9e6-2df3d30f8add</t>
  </si>
  <si>
    <t>6b26807d-506e-4048-b0a7-28e1f33c5682</t>
  </si>
  <si>
    <t>6a61fa34-bde9-4b9e-91f9-27461c4e5303</t>
  </si>
  <si>
    <t>d5718bde-a7cc-4904-a04f-35c27ceb5c71</t>
  </si>
  <si>
    <t>38b28557-9276-4e42-a93d-0153fa51ac5d</t>
  </si>
  <si>
    <t>24106535-f95a-4d86-b2cb-a46d1fd1d56b</t>
  </si>
  <si>
    <t>7f512cb6-5df2-4440-a52f-2cc02d6b5f4d</t>
  </si>
  <si>
    <t>edeeb492-8e30-4090-9ad8-b8328f49901b</t>
  </si>
  <si>
    <t>077e3249-9935-448d-a99f-469eb723b681</t>
  </si>
  <si>
    <t>8aad7603-07af-4378-9ae7-75f3884dd410</t>
  </si>
  <si>
    <t>5a2b8021-8a0f-4093-bcfe-9b4d2a31ca24</t>
  </si>
  <si>
    <t>7de90e52-0688-4f43-a119-ccd845ad3311</t>
  </si>
  <si>
    <t>38b7db84-c39a-41ec-92b4-6ef212905a3a</t>
  </si>
  <si>
    <t>19261a3f-5bc6-4452-9884-5c17bd873a2d</t>
  </si>
  <si>
    <t>ab9d275a-d360-482d-9d5d-d3b309a76a9f</t>
  </si>
  <si>
    <t>f63e28c8-206a-4793-ae43-23a6e77387f0</t>
  </si>
  <si>
    <t>0a5bb410-ff68-41a9-b7c7-ef434afafa7a</t>
  </si>
  <si>
    <t>e19fc948-095d-4879-b4cc-701d0eb97521</t>
  </si>
  <si>
    <t>43419ace-febd-4b72-ae24-df89e9c5c130</t>
  </si>
  <si>
    <t>783ce93d-8f98-4c52-91fc-637a2d7ed291</t>
  </si>
  <si>
    <t>10d44b3d-8aca-4410-9c10-126197762b3a</t>
  </si>
  <si>
    <t>67361c0d-b406-445c-ac11-ec609448d0c6</t>
  </si>
  <si>
    <t>897ad387-171c-491a-93f0-c3c9c20da5bd</t>
  </si>
  <si>
    <t>531cc2ac-2f4e-4ca2-8ec6-510374f232a6</t>
  </si>
  <si>
    <t>09ec485c-dc00-4fee-8541-ee03cb4c7788</t>
  </si>
  <si>
    <t>a31d9ef6-3449-41ee-9247-15e281cd058b</t>
  </si>
  <si>
    <t>178ed5d7-6309-42be-9b13-f39481d1e8f9</t>
  </si>
  <si>
    <t>709adad1-35d5-430f-9193-eaf491fd9097</t>
  </si>
  <si>
    <t>73dab074-bbd5-4a6e-b27e-bd4f6736a84f</t>
  </si>
  <si>
    <t>df6c33f0-714b-4a45-b217-2acae1d87bd0</t>
  </si>
  <si>
    <t>f29b76e9-3658-4684-bbfc-4e14861530f2</t>
  </si>
  <si>
    <t>f222c949-3430-4ab4-86d6-17d1c49633b7</t>
  </si>
  <si>
    <t>aba88303-5c51-499e-a8ef-c7f9d4ad527d</t>
  </si>
  <si>
    <t>d82cfb2c-0152-4b6d-83ca-7fc9eabb7e02</t>
  </si>
  <si>
    <t>64e036b5-a4fd-4a17-81ba-4be906e22c3e</t>
  </si>
  <si>
    <t>ca79f979-edd3-4dcf-8fc0-8350ac49f8bd</t>
  </si>
  <si>
    <t>722219dc-b01e-4a8d-b8f8-c77d80857fb2</t>
  </si>
  <si>
    <t>c7266478-a0d8-41c3-b10d-20b1cbd8a284</t>
  </si>
  <si>
    <t>92126ff1-9fa1-46c9-82eb-d7728623ee6d</t>
  </si>
  <si>
    <t>616d43a7-f2e9-4518-bd35-2afc06e1fb5e</t>
  </si>
  <si>
    <t>b3be5167-0946-4e6f-b215-100e6272e2af</t>
  </si>
  <si>
    <t>bbfede43-b337-4d27-89a3-9f6605160274</t>
  </si>
  <si>
    <t>495c15cc-4a8d-4ea1-8e2a-04bd3c1650af</t>
  </si>
  <si>
    <t>2f60c8dc-b571-4167-887d-9b9c202c740d</t>
  </si>
  <si>
    <t>5541b40f-7635-4be4-a11b-4891857f4ecb</t>
  </si>
  <si>
    <t>e281d2c4-5d0e-4d9f-b85c-3ed84a5d2d3a</t>
  </si>
  <si>
    <t>d8958961-1d03-4632-a1ef-443569eafdb8</t>
  </si>
  <si>
    <t>7b9d738e-0ead-4bcc-bbd1-3f16de6e3451</t>
  </si>
  <si>
    <t>7838c85e-4ab0-4893-b45c-759a691fcf9a</t>
  </si>
  <si>
    <t>f5f9de36-764f-4d87-87dc-8e5a5611f84b</t>
  </si>
  <si>
    <t>35f01b7b-c821-482d-bb78-3da9d6874618</t>
  </si>
  <si>
    <t>d6c33291-fa6b-4720-9eb9-97b7914d96b5</t>
  </si>
  <si>
    <t>fbcddc66-ce18-433d-90c9-65310186b0d8</t>
  </si>
  <si>
    <t>e0713070-b9a5-4d13-82dd-c14a3cd54136</t>
  </si>
  <si>
    <t>d92c2037-6794-4a9d-8626-93ffc82f1b36</t>
  </si>
  <si>
    <t>5c3fe476-4574-414d-9088-d1aa54a4925f</t>
  </si>
  <si>
    <t>6d93be7f-a442-4f4c-b5f2-46538968e51e</t>
  </si>
  <si>
    <t>edc8d3c0-1953-4cdc-965a-e82b24db4e0c</t>
  </si>
  <si>
    <t>67b7e14c-c9c5-4d9f-9016-31d210ae2362</t>
  </si>
  <si>
    <t>54329ddc-0c74-4491-b078-6fd7043600d9</t>
  </si>
  <si>
    <t>8ed3f8d9-e055-462c-ba06-b37ae73383ff</t>
  </si>
  <si>
    <t>aa498f26-f057-452b-9ecb-139cbbd0bb3c</t>
  </si>
  <si>
    <t>c9e51944-73dc-4c48-a41e-c93502a923d9</t>
  </si>
  <si>
    <t>2ef1fbb6-20ee-4327-b996-961034dea397</t>
  </si>
  <si>
    <t>f7564319-cff2-49f2-8b45-a0a63bed05a9</t>
  </si>
  <si>
    <t>ff34d7d5-c03a-46b5-937b-1cb59a7f0ed4</t>
  </si>
  <si>
    <t>89440eca-2ab6-4b1d-aa56-11a202b1863c</t>
  </si>
  <si>
    <t>f00ed2c9-1dfe-49a9-8cdd-88dd1868151b</t>
  </si>
  <si>
    <t>8a070e39-c025-4deb-9f2c-16ea87dbfdda</t>
  </si>
  <si>
    <t>48c30c63-5b39-4f39-8858-b218efc29ebc</t>
  </si>
  <si>
    <t>86565c4d-3dfc-4aed-8f71-7e9c9adfb305</t>
  </si>
  <si>
    <t>b4d55b9d-46d6-45b6-90ea-b93a234ed197</t>
  </si>
  <si>
    <t>8230088e-4b29-43f3-bd2c-1e7e359aca20</t>
  </si>
  <si>
    <t>0877a70f-a107-4dd2-93a5-e8de40eb3039</t>
  </si>
  <si>
    <t>3e4ac540-78b5-41de-8e9c-85a7a7176911</t>
  </si>
  <si>
    <t>c90694ba-6152-4b60-9860-fecbda20a2bb</t>
  </si>
  <si>
    <t>c106ac8f-3108-427b-9827-1de7f929fb27</t>
  </si>
  <si>
    <t>506a43a1-76e7-4da1-bcc5-a891fe307b83</t>
  </si>
  <si>
    <t>3a831ec4-8d70-4dd8-b9ce-efe7818a3491</t>
  </si>
  <si>
    <t>bd09d1ce-2cad-49f4-bfd4-5cff276a0556</t>
  </si>
  <si>
    <t>372e33be-ff86-49fd-9f0f-52f4bc22f275</t>
  </si>
  <si>
    <t>244afe84-80a3-403d-aad9-815180114266</t>
  </si>
  <si>
    <t>8a6f79b4-7534-4204-80e5-0365da110afa</t>
  </si>
  <si>
    <t>3e9f4061-3263-4ef7-b774-85266c5e2664</t>
  </si>
  <si>
    <t>a79a495f-4fb7-4578-b7ba-98b75d7a9b36</t>
  </si>
  <si>
    <t>92c7ad46-9598-4b37-8a6c-f01516b0776c</t>
  </si>
  <si>
    <t>eed24f1a-1726-4921-a069-6919ac875999</t>
  </si>
  <si>
    <t>aef46336-8197-4db8-b914-1f17233ef0cf</t>
  </si>
  <si>
    <t>8fc7301c-e0a8-4395-bd8d-2a1e4d5880e0</t>
  </si>
  <si>
    <t>2eb41e57-175c-4e41-8512-62d4cf6f643a</t>
  </si>
  <si>
    <t>1c476113-666b-4ee2-89af-952d431d69d8</t>
  </si>
  <si>
    <t>26e964af-066a-4bcd-9a51-c7e7e45cbf55</t>
  </si>
  <si>
    <t>7766f556-ce51-4ffc-943d-da2a7bacbd85</t>
  </si>
  <si>
    <t>2f4a4da5-3dea-49b8-bf34-bfe34f9ccc04</t>
  </si>
  <si>
    <t>e6cd146c-6c41-4b3b-b7b9-15a89a46cb39</t>
  </si>
  <si>
    <t>c839944d-da76-435f-a895-73f3f27309f1</t>
  </si>
  <si>
    <t>83a009fd-917b-4c40-9089-9a2a5dc4d442</t>
  </si>
  <si>
    <t>927380ff-be39-49ff-a3ea-cc96ae741428</t>
  </si>
  <si>
    <t>cd0bdb15-c5ba-4a34-a556-5599125a2b84</t>
  </si>
  <si>
    <t>d7bbf4d1-5fb1-4a54-98db-c547e4ee5beb</t>
  </si>
  <si>
    <t>42f076a3-9c1f-4a63-a6b3-b64dcd49b013</t>
  </si>
  <si>
    <t>8adddc7e-3c06-48ea-8d0b-b53085a9cac4</t>
  </si>
  <si>
    <t>0b31eed4-42d1-4e27-a7d3-c6611f0b3735</t>
  </si>
  <si>
    <t>07f97a7f-7e14-4190-8b12-561b6fa3f946</t>
  </si>
  <si>
    <t>bba16224-4663-4bff-b0df-50beb8c9a6d3</t>
  </si>
  <si>
    <t>021953d2-92d3-4b9b-b631-9fecb0708e82</t>
  </si>
  <si>
    <t>d8c24a82-a981-4e48-8f51-7ee3eb3689ad</t>
  </si>
  <si>
    <t>a0a97810-a42c-4c9a-b0ac-5a17aa6dc853</t>
  </si>
  <si>
    <t>d11de576-19ce-4bfa-85bb-8af0e19ffc36</t>
  </si>
  <si>
    <t>e8bd31cb-0d7b-4fe3-b931-ae2d1bda3501</t>
  </si>
  <si>
    <t>21f8dc27-7314-4fe9-b9da-09d5119b988c</t>
  </si>
  <si>
    <t>fa7551a6-374f-4244-9c5c-35880491a812</t>
  </si>
  <si>
    <t>5fc75d52-33cc-4c76-a228-186dc698782e</t>
  </si>
  <si>
    <t>dc5579d1-0da8-48d9-97b7-7eb1d5f66f3e</t>
  </si>
  <si>
    <t>c5c11446-58df-4b5f-82db-17dc77dfbe63</t>
  </si>
  <si>
    <t>cd97b3c6-0c79-4cb7-b8b1-bfc6b0e76ac7</t>
  </si>
  <si>
    <t>2a883ae1-7ca6-4633-a232-0962c7b46529</t>
  </si>
  <si>
    <t>bf96dd80-e9a6-44a8-b02e-61568f59848a</t>
  </si>
  <si>
    <t>26df5bb2-c5bf-4783-89c1-ce42ee12ea33</t>
  </si>
  <si>
    <t>baebcab1-41e2-4d78-beb1-bb7bdb1e6e6b</t>
  </si>
  <si>
    <t>60ed3cae-470a-42cb-989d-031e05f6b282</t>
  </si>
  <si>
    <t>4daa7fbc-5547-4b26-a24c-77bed7d5cfdb</t>
  </si>
  <si>
    <t>216d8b51-e659-44b0-8865-def3b617b695</t>
  </si>
  <si>
    <t>0269346b-0195-484a-b090-ca8d38c4be6f</t>
  </si>
  <si>
    <t>63543195-8402-4665-9065-db9409fa3808</t>
  </si>
  <si>
    <t>728c5b24-41d3-4af3-9448-f5239141441d</t>
  </si>
  <si>
    <t>31b72979-04d6-4b6f-8fea-a2f4645101b8</t>
  </si>
  <si>
    <t>60286ee0-5526-40ce-a430-4d47db54d7ee</t>
  </si>
  <si>
    <t>ede334bf-5986-4017-9fed-740455de290d</t>
  </si>
  <si>
    <t>f44970bb-4053-4330-93d4-c1556a19e0a0</t>
  </si>
  <si>
    <t>5225c7bb-c8dd-41fa-a258-dedb63901ff6</t>
  </si>
  <si>
    <t>c3a24520-0489-45f6-9a98-d8ed08292d09</t>
  </si>
  <si>
    <t>b4236475-e54a-4d13-b91c-060345f9f24b</t>
  </si>
  <si>
    <t>70bd1e00-a05d-4419-bb8f-413e572ff10a</t>
  </si>
  <si>
    <t>52825876-7dd1-4306-bdca-ca2cff1b17e5</t>
  </si>
  <si>
    <t>18d69a54-3e66-4717-a26f-07192f0fc186</t>
  </si>
  <si>
    <t>50ee5b4a-93b7-4659-8cc5-7b45ca6b0cda</t>
  </si>
  <si>
    <t>6d76fa63-4176-4cbe-a1a0-8c70103dc1c3</t>
  </si>
  <si>
    <t>03aaa702-9dd4-4e6a-8d97-38992ed1c953</t>
  </si>
  <si>
    <t>8067240d-1cc6-4610-83b5-cdd7b367f684</t>
  </si>
  <si>
    <t>c7114022-e4d7-43ce-b51f-93db0125d932</t>
  </si>
  <si>
    <t>c9853948-8d41-4da2-87c6-0aed7f3e7c29</t>
  </si>
  <si>
    <t>08f46f44-2b3a-40ca-b38d-058d4140f891</t>
  </si>
  <si>
    <t>4e8d788a-a7b2-4d37-9d0d-bcf296c4c709</t>
  </si>
  <si>
    <t>614ec0bc-c5f8-4087-9e4e-7c47ff690a7e</t>
  </si>
  <si>
    <t>1e3faf75-bcbc-4ce7-99da-774838519391</t>
  </si>
  <si>
    <t>e74c987c-f551-4bcd-af99-17209203d693</t>
  </si>
  <si>
    <t>2ba0596e-c136-4785-a158-5231ab2ee868</t>
  </si>
  <si>
    <t>ec50b302-c664-4db4-ad1a-4aecddff17cf</t>
  </si>
  <si>
    <t>21df4bf7-a609-4b7c-a90a-e8e6aa823b2b</t>
  </si>
  <si>
    <t>7cde58cd-cbda-448e-97f7-7ef92ae3f2f7</t>
  </si>
  <si>
    <t>00e1fe1e-b901-4b7f-b230-b5339f6ed851</t>
  </si>
  <si>
    <t>30e021a0-49c8-4c58-a1df-f1c41d6ba6d9</t>
  </si>
  <si>
    <t>173591dd-9b6d-4474-9bfe-0e5128d8fd01</t>
  </si>
  <si>
    <t>233a8aa0-dd0f-493d-9743-993c44f36682</t>
  </si>
  <si>
    <t>921f8011-a5bc-472b-a453-3bbece1340cc</t>
  </si>
  <si>
    <t>8b252c5a-357d-4205-9b8c-dd56b9ef3e8f</t>
  </si>
  <si>
    <t>c946d396-e705-447a-8ff5-103be7d3c191</t>
  </si>
  <si>
    <t>0f38f1af-93ca-493b-bb25-1899215da72f</t>
  </si>
  <si>
    <t>77fcf232-852b-4658-8ba5-cdd4d39cb220</t>
  </si>
  <si>
    <t>614b3ebb-3845-46bd-a566-0ca1af6b5d12</t>
  </si>
  <si>
    <t>02a03b46-f8b8-4e14-a7d8-ed18ce4e682f</t>
  </si>
  <si>
    <t>ce3a6647-4371-4cf1-8ee7-aed3f04abb9d</t>
  </si>
  <si>
    <t>db410c2e-3aec-435b-a24e-05ffdd79c474</t>
  </si>
  <si>
    <t>7b1a7528-7262-4f2d-94b3-85d8d5050eae</t>
  </si>
  <si>
    <t>ccad59fa-3495-4074-8819-c1aa9195d79e</t>
  </si>
  <si>
    <t>fbf25b96-db62-4cf5-9f76-56c850e81e7c</t>
  </si>
  <si>
    <t>df2e7adf-fca8-452e-933d-bffe7b819d6b</t>
  </si>
  <si>
    <t>79d06ea3-7ab3-45cc-b079-9c74f8f31873</t>
  </si>
  <si>
    <t>906ed0f4-9e15-488a-ad8d-4357fc0556c0</t>
  </si>
  <si>
    <t>cb496926-4ebe-4744-9b60-43ff8cb8bbd1</t>
  </si>
  <si>
    <t>3c1b6a78-400c-4b33-ad71-d69bc8fed11d</t>
  </si>
  <si>
    <t>0b9d0223-4054-4cb4-996f-e97d9e268ce0</t>
  </si>
  <si>
    <t>060c062e-86b3-48f8-bd92-2f27954e1d4b</t>
  </si>
  <si>
    <t>1dcdb3d3-e90c-4e9c-aed9-7bb2aa432be3</t>
  </si>
  <si>
    <t>60ba582c-667f-406a-821e-9446a54255f3</t>
  </si>
  <si>
    <t>acd36cc2-e64c-404c-a288-06b388ccdc5a</t>
  </si>
  <si>
    <t>a19e0635-24f6-455f-b9fb-5f99e0c81e5d</t>
  </si>
  <si>
    <t>0c5084dd-0fdc-4b68-a39d-9ccec9a5840c</t>
  </si>
  <si>
    <t>13f16423-3f26-4f91-9d91-1daf567eeb28</t>
  </si>
  <si>
    <t>1089f14a-bda9-4d3e-9255-3233e0a50e9e</t>
  </si>
  <si>
    <t>c09bdd2b-f4a2-4e96-9dd6-2ff8353b6585</t>
  </si>
  <si>
    <t>866c73e8-7aae-4c5f-93be-7a0476f2aa3f</t>
  </si>
  <si>
    <t>a511c1cc-efd3-4d8c-a2e6-ba9e6fd38cda</t>
  </si>
  <si>
    <t>78f7c9ae-57dc-46f2-b14b-9e5fc7ca5771</t>
  </si>
  <si>
    <t>7b556cb4-148e-4339-9deb-b4482def0dac</t>
  </si>
  <si>
    <t>5398f3e6-9340-46ba-b108-21bd4a20dad7</t>
  </si>
  <si>
    <t>7cf0885f-1284-4c45-9496-e9ed0dbfa617</t>
  </si>
  <si>
    <t>650eb3fd-6ac4-4fcb-b826-db7e041d3dee</t>
  </si>
  <si>
    <t>67c23431-fec6-4869-a4fe-fb2c17d7d292</t>
  </si>
  <si>
    <t>ba6c8f8f-22df-4127-b272-dca70c2c994d</t>
  </si>
  <si>
    <t>38fab5f1-b2c2-4595-9b99-c6958e12d681</t>
  </si>
  <si>
    <t>9502e8d0-9fba-4ebe-bab2-d2bec8fdb279</t>
  </si>
  <si>
    <t>f8e87436-8e99-4242-9a05-afd319869b85</t>
  </si>
  <si>
    <t>4a10574e-dda7-43ea-b38d-5f863431d279</t>
  </si>
  <si>
    <t>e545aafc-a2a8-47f7-881b-ca1c84efb7a9</t>
  </si>
  <si>
    <t>308f3d08-410e-40fc-94ee-511c8b599c63</t>
  </si>
  <si>
    <t>4382c0af-4db7-41ef-aacf-7c016bf7311e</t>
  </si>
  <si>
    <t>b11a2e81-5957-485b-9bf1-90617b81739d</t>
  </si>
  <si>
    <t>209051ac-cd64-454a-b134-3b16f1e4e3c3</t>
  </si>
  <si>
    <t>e9652686-ff68-4181-8196-dc5d9e88271f</t>
  </si>
  <si>
    <t>1ca593d9-532f-4364-a88d-32ac0a844b4e</t>
  </si>
  <si>
    <t>2f0d40d0-6a33-40f9-bd26-8a1ea8b1bb31</t>
  </si>
  <si>
    <t>f1c52f75-54a6-4a87-90f2-fbb653f25876</t>
  </si>
  <si>
    <t>197dfe22-8c35-41a7-9862-82718f193410</t>
  </si>
  <si>
    <t>df0bc03b-14c5-449c-b317-e30b66c25709</t>
  </si>
  <si>
    <t>b852b133-b2e4-44ec-b7e3-9094af23e437</t>
  </si>
  <si>
    <t>f23250cb-29f1-44f5-9a2b-b6ae2cc4e3ae</t>
  </si>
  <si>
    <t>100399b3-780a-4542-a863-8abb8a0f4fa5</t>
  </si>
  <si>
    <t>a81d3e22-adbf-4be7-9a37-d1c88df7ba5b</t>
  </si>
  <si>
    <t>9a7a1d91-41ed-4ecd-b33d-64a193c58335</t>
  </si>
  <si>
    <t>10015a67-50ec-4816-894f-25d009205edf</t>
  </si>
  <si>
    <t>f9c42258-1e44-4a98-b5e3-c06b68b156a2</t>
  </si>
  <si>
    <t>b1392089-bb22-4f87-aac6-eac0f309078e</t>
  </si>
  <si>
    <t>39ea86e7-a5b6-47d3-9344-741b6fdf26e8</t>
  </si>
  <si>
    <t>aab7f690-8b84-428e-8526-41ceb792e2e8</t>
  </si>
  <si>
    <t>cdccdc66-8a40-4090-9c21-51a275c8fe6c</t>
  </si>
  <si>
    <t>a3a8c488-a4c9-4cae-a54d-9ae4023304c6</t>
  </si>
  <si>
    <t>411d9ac8-948f-423c-b9db-ede7dc93ee55</t>
  </si>
  <si>
    <t>c2164719-8cc7-416f-a132-7810206a8fd3</t>
  </si>
  <si>
    <t>bed61fe3-c918-498d-b01d-e5e604b45598</t>
  </si>
  <si>
    <t>37be447f-7d01-42c2-810b-da4b18aaab4b</t>
  </si>
  <si>
    <t>fc99f0b0-6287-4b09-a878-6cbc4db7be08</t>
  </si>
  <si>
    <t>0261e287-494b-419b-9da3-8d13a9f48c0d</t>
  </si>
  <si>
    <t>f15fefa4-d84c-4087-9812-1beef7892518</t>
  </si>
  <si>
    <t>f05d8006-f3c3-40d8-b9f0-9b0ebf4c490e</t>
  </si>
  <si>
    <t>42870640-3b86-458b-80ce-47214ff0394d</t>
  </si>
  <si>
    <t>60f210f0-06ad-4140-883d-5ca3616a87da</t>
  </si>
  <si>
    <t>b7bb4608-3731-4449-b7f3-85426659150a</t>
  </si>
  <si>
    <t>d9879e7f-3c45-4c80-8cda-520b9aaf6a93</t>
  </si>
  <si>
    <t>5b88b1fd-1192-4e49-bf5b-7985c0c8489e</t>
  </si>
  <si>
    <t>d43e3a5f-8731-4c71-ac6b-a4f34620fa42</t>
  </si>
  <si>
    <t>53434e3c-7048-4b7c-a2ec-9db800301adb</t>
  </si>
  <si>
    <t>76abee3f-deff-41d7-879d-4e124124d5a3</t>
  </si>
  <si>
    <t>8df76120-a4c8-46ba-85bb-98a200c5ec67</t>
  </si>
  <si>
    <t>35fb8567-1d59-4822-ac58-df25495c3a0c</t>
  </si>
  <si>
    <t>bb4750e5-0e8c-46fa-94dd-dbc7b3884ab6</t>
  </si>
  <si>
    <t>74159f23-1edc-4e4d-a8b1-c0eaa5a40157</t>
  </si>
  <si>
    <t>c970d405-45e4-4876-bcbc-2a0bed410331</t>
  </si>
  <si>
    <t>562f2346-b094-44ab-b679-18a3be3abbfa</t>
  </si>
  <si>
    <t>f29fb90e-e54d-4fb5-a205-163efd9e77ff</t>
  </si>
  <si>
    <t>10ed16cf-4629-47d0-b276-22f02adacc86</t>
  </si>
  <si>
    <t>d304d06c-6173-47b0-8adf-5c3e706744a8</t>
  </si>
  <si>
    <t>785bc569-e52a-4a9a-8141-2f5351004cdc</t>
  </si>
  <si>
    <t>27cdf6d1-a3cc-499f-b06f-a5328b20c56f</t>
  </si>
  <si>
    <t>dae372ec-c3ff-4deb-879c-92cff89ce0ee</t>
  </si>
  <si>
    <t>9d4fd1f3-03b1-40ea-ab1e-1e481dceca88</t>
  </si>
  <si>
    <t>14f1e045-f9a8-4a64-8fa9-39083ee7ced7</t>
  </si>
  <si>
    <t>5632aace-6a90-4998-9ad4-2520f5b449e1</t>
  </si>
  <si>
    <t>172e78a5-3176-4e40-b70b-2faa47e5f571</t>
  </si>
  <si>
    <t>440473fb-ce93-4f81-8eec-edff35e06a05</t>
  </si>
  <si>
    <t>4d968a7e-0a65-4e38-8702-27a37a37a0a5</t>
  </si>
  <si>
    <t>8361915f-c93a-4911-9098-24375c146299</t>
  </si>
  <si>
    <t>e899330f-307e-451b-89d4-40a2e5851b22</t>
  </si>
  <si>
    <t>71564d3a-919b-4e9a-9252-b7cfed0c46ce</t>
  </si>
  <si>
    <t>601bb630-1c24-446f-b56d-482db8f05971</t>
  </si>
  <si>
    <t>2e22365c-bbac-4def-af16-d9ad830710c7</t>
  </si>
  <si>
    <t>1e60f142-fe9a-4c26-bdbe-e8f54aeeb090</t>
  </si>
  <si>
    <t>4c781201-e41e-4111-b4cf-cb940c89f318</t>
  </si>
  <si>
    <t>2d0c6ef6-c3b0-4b23-8870-78d98f334ba7</t>
  </si>
  <si>
    <t>7a860be2-35cb-4e44-9282-f2cc390ab629</t>
  </si>
  <si>
    <t>04b8f1f2-1847-46e7-8ff2-9be8507512a5</t>
  </si>
  <si>
    <t>dc07f940-909b-4b6c-be3f-7847525d00de</t>
  </si>
  <si>
    <t>d9d48a2c-9b5c-40cc-b6d6-f4967e014c36</t>
  </si>
  <si>
    <t>57a8f035-d2b8-4cc6-8a9b-5b1d7baa138d</t>
  </si>
  <si>
    <t>05baa9a7-3df7-4f97-a8a9-6531548f00ba</t>
  </si>
  <si>
    <t>5a56de70-7db6-4d35-9585-5342b5e6e55b</t>
  </si>
  <si>
    <t>3e28a876-be51-4c30-a883-6813d7850982</t>
  </si>
  <si>
    <t>a8f67572-e5af-4ba5-9cc2-5e544016bf22</t>
  </si>
  <si>
    <t>bffc85b7-7cdb-4e6c-bca9-ed853c6a6a5a</t>
  </si>
  <si>
    <t>a45fa9d9-92a9-41e6-b1cd-9bb74d5149a5</t>
  </si>
  <si>
    <t>54723fd0-c3e4-4cf0-81a1-b0367b4466e5</t>
  </si>
  <si>
    <t>871d7732-882f-474a-92f7-83b1b2540830</t>
  </si>
  <si>
    <t>2f5974c3-97aa-41a3-8141-56b585021f59</t>
  </si>
  <si>
    <t>8fe0cb1a-17bb-425f-9abb-2b4bbe99d695</t>
  </si>
  <si>
    <t>7b279066-3d00-4932-930d-918ea1220027</t>
  </si>
  <si>
    <t>9308dc6a-40bf-4e54-9fdb-86be22d70617</t>
  </si>
  <si>
    <t>9f93ae90-ae05-442e-aae2-753f0e67642f</t>
  </si>
  <si>
    <t>45d33f09-78df-4adf-a9ac-3942bb2c3947</t>
  </si>
  <si>
    <t>d12782f1-cf85-4031-b6c7-e6ce55ed14fd</t>
  </si>
  <si>
    <t>32cf9513-2e1c-49e7-9333-7bb7168c3202</t>
  </si>
  <si>
    <t>db19c9cb-b091-4476-90eb-d333ef2a538e</t>
  </si>
  <si>
    <t>a5e032ee-dad1-4351-a347-7ea4d55b1420</t>
  </si>
  <si>
    <t>f94e4fc1-0dcb-4933-99b0-c545dbc09cac</t>
  </si>
  <si>
    <t>d3189500-377f-4e47-add8-914e54b71ee9</t>
  </si>
  <si>
    <t>074c4020-c74b-423f-a374-1b8dd7b5f8ff</t>
  </si>
  <si>
    <t>d460ee39-419a-4fc9-a062-3ef18d59b1bd</t>
  </si>
  <si>
    <t>e5e7118a-54d3-47c8-8093-bfcac518a5b5</t>
  </si>
  <si>
    <t>17c5c2b4-85b0-4402-b177-5bb861c00eee</t>
  </si>
  <si>
    <t>aae28553-7ea3-450c-bd88-28da0401654b</t>
  </si>
  <si>
    <t>427b4a96-ee24-4998-b9a8-3e16bc9b5dfd</t>
  </si>
  <si>
    <t>b3b37d5e-e77a-4114-8a35-ad5c88cfb3d3</t>
  </si>
  <si>
    <t>e510cf7f-f80c-450e-b8d8-240377aa80d0</t>
  </si>
  <si>
    <t>84785232-810b-4c77-bf2b-84fa6cdbb48c</t>
  </si>
  <si>
    <t>e32bc098-aa7c-4ea3-8671-610408993782</t>
  </si>
  <si>
    <t>b40605b0-dd8b-4681-8112-7f774b90fe87</t>
  </si>
  <si>
    <t>af363055-2429-4817-ac39-222f52ce2c28</t>
  </si>
  <si>
    <t>1596f2f8-8dec-4358-926c-833304522960</t>
  </si>
  <si>
    <t>a2d5d71b-74a6-4138-a6d3-9c8688ba469c</t>
  </si>
  <si>
    <t>0477e5c6-e61c-4bc4-ad07-7c079aa40ec4</t>
  </si>
  <si>
    <t>69ddbf7f-b17e-4820-bf1c-a1a933af6a90</t>
  </si>
  <si>
    <t>d8053e48-45af-44b8-86b0-e7a5ffa7fa9d</t>
  </si>
  <si>
    <t>ff9f52c7-28a9-4c64-aee6-39e605a80eca</t>
  </si>
  <si>
    <t>387fa01f-da9f-4789-83aa-88ef067803d5</t>
  </si>
  <si>
    <t>04714862-1cf5-4a1d-806b-40fefcde10fe</t>
  </si>
  <si>
    <t>066c04b3-5444-4518-9d6c-e35d0af49e91</t>
  </si>
  <si>
    <t>06ebb89d-6099-4e1f-8773-44748d32d5a2</t>
  </si>
  <si>
    <t>434cbc53-a07a-401c-a5d7-ce9be4e1f87c</t>
  </si>
  <si>
    <t>2fd184fc-08de-49a9-822f-e37dc8a7cea0</t>
  </si>
  <si>
    <t>d3e4830d-aa8c-4982-9c2e-f1d87e279a25</t>
  </si>
  <si>
    <t>a3764a66-0fc9-42de-b201-0fd239298ad3</t>
  </si>
  <si>
    <t>9f79fc02-4256-4db5-b810-3dfd68e72acb</t>
  </si>
  <si>
    <t>69a4e195-7c15-4228-804d-e8e941f2eda4</t>
  </si>
  <si>
    <t>db39ae44-c79c-4835-b2a7-3453074861a4</t>
  </si>
  <si>
    <t>a406b471-835c-455e-a785-04c804f1f5d1</t>
  </si>
  <si>
    <t>f3d849ba-47d8-4f8e-bf1b-289b7c0cf524</t>
  </si>
  <si>
    <t>5b698ec7-9fa2-4586-b6df-bf6d1c209f98</t>
  </si>
  <si>
    <t>7ef90dea-7ec3-46ec-86b7-03eb6f500df1</t>
  </si>
  <si>
    <t>9e00559b-2802-4605-bfe6-0c8496154be9</t>
  </si>
  <si>
    <t>e5820a3e-8076-4850-a8e0-cf1b67f74538</t>
  </si>
  <si>
    <t>a2885899-1010-4768-93f1-40803c0dd51a</t>
  </si>
  <si>
    <t>ed652fc2-4fd3-48ae-b7e2-c6f88b17be8d</t>
  </si>
  <si>
    <t>5ee2bab3-eede-4591-b2a9-8ae2f76f2688</t>
  </si>
  <si>
    <t>f96ab96b-5b76-4725-9b56-14247969eb99</t>
  </si>
  <si>
    <t>288dcf56-a6b9-4035-9ff0-094f0b28624b</t>
  </si>
  <si>
    <t>d813db5e-2cc2-43a5-9848-a6e7e9c5d820</t>
  </si>
  <si>
    <t>27bea4db-a1b2-4a92-bcdb-e1056c441570</t>
  </si>
  <si>
    <t>39b77be6-5968-44b7-91ad-92a0a82053e2</t>
  </si>
  <si>
    <t>dd978cd2-3016-4e5b-b3eb-3cf4d96bab49</t>
  </si>
  <si>
    <t>93d8e892-1e0e-4fa0-8e71-af64f01b2b96</t>
  </si>
  <si>
    <t>ddc3f0b2-fa03-411a-bb23-43e6ba033a2a</t>
  </si>
  <si>
    <t>5c4b9f31-26c2-42cb-9832-d94a06bad0db</t>
  </si>
  <si>
    <t>81d7f3df-a865-4712-8f02-870e87556cff</t>
  </si>
  <si>
    <t>f6ba36cb-f2a2-4c9d-bb7b-c56e890bd8ac</t>
  </si>
  <si>
    <t>045dfa1f-f368-4569-ab26-1f657fc0d0cb</t>
  </si>
  <si>
    <t>4b265a45-bacf-419f-8d0a-d138ff8cc833</t>
  </si>
  <si>
    <t>637ae522-86b3-47a0-90d4-226a7f292f48</t>
  </si>
  <si>
    <t>75a299c1-a044-481f-b7d7-800b635c66d5</t>
  </si>
  <si>
    <t>fd2cf8f2-6b25-4c20-8b48-51318f2f9889</t>
  </si>
  <si>
    <t>a1efffa8-06c5-431b-bc67-288c72bf5a95</t>
  </si>
  <si>
    <t>f0991088-4a2f-47e2-9cb7-378332657763</t>
  </si>
  <si>
    <t>d18f88db-1f1c-45de-b4c5-53118178115c</t>
  </si>
  <si>
    <t>dfcba975-1435-4a0c-9953-ded8c4ea7478</t>
  </si>
  <si>
    <t>c84b87c7-0606-433f-abf6-3bf9a0a7ae6f</t>
  </si>
  <si>
    <t>d42d8dd6-04c1-4fd2-8d5f-9bf663790da5</t>
  </si>
  <si>
    <t>5ec6a705-8843-4213-95a1-e440bbdf370a</t>
  </si>
  <si>
    <t>1a6ed48d-0d10-4f2e-a2a9-4b19f355089c</t>
  </si>
  <si>
    <t>0e43aa3b-6acc-4515-956d-a1e74e65143c</t>
  </si>
  <si>
    <t>259504ca-da6b-436d-98a8-af2e043a69ea</t>
  </si>
  <si>
    <t>4d082ac6-b5d4-43f4-be02-894e0ca055e2</t>
  </si>
  <si>
    <t>2d01b7b1-4bc1-443e-85eb-09baa0287d1e</t>
  </si>
  <si>
    <t>e3ba140b-4713-4655-a675-917fcf0f379d</t>
  </si>
  <si>
    <t>827f2f52-3905-46dc-9e88-8d320c4b5dfa</t>
  </si>
  <si>
    <t>d8081af8-d75d-4644-bd50-fae6c4d44646</t>
  </si>
  <si>
    <t>74e0420a-ccca-44df-a4e6-0c17b95a9bfb</t>
  </si>
  <si>
    <t>db05b8cb-99fb-4141-b450-5cda560aa7ee</t>
  </si>
  <si>
    <t>cd1dd781-0ed1-4276-a0c6-b1e0b0a7ff0b</t>
  </si>
  <si>
    <t>f95391f8-e0b7-4a29-9a32-4532ef91e809</t>
  </si>
  <si>
    <t>c3d442a0-d333-4005-9db9-4a3bcd4335de</t>
  </si>
  <si>
    <t>0b23b1c8-9227-4e29-92e2-8c5f3a045dd8</t>
  </si>
  <si>
    <t>f443bc00-3f6f-4653-b686-35784e030209</t>
  </si>
  <si>
    <t>8c12277f-f7aa-4c7e-ab95-e6a8034c0ca7</t>
  </si>
  <si>
    <t>efa70888-5a93-4325-839b-1788bb3d5921</t>
  </si>
  <si>
    <t>5a88fa02-8ed7-450b-803a-df07c9f41910</t>
  </si>
  <si>
    <t>539498a7-9e68-4423-a2eb-0802e4c83737</t>
  </si>
  <si>
    <t>a6ba15d6-a7a5-4dc4-a4e3-80a48aee7c2f</t>
  </si>
  <si>
    <t>3d1e9521-a3f2-4f45-92fc-925c7a665233</t>
  </si>
  <si>
    <t>73de51ee-8cbd-4ab3-a94f-ca16bc078a5b</t>
  </si>
  <si>
    <t>1357827e-d6fc-47d4-b498-ecbd90ff1e7a</t>
  </si>
  <si>
    <t>8dd721fd-b726-4e6f-aa80-d9cbc8d77cdd</t>
  </si>
  <si>
    <t>30ee0dd8-eff4-4770-8a82-8a9a74f0b87f</t>
  </si>
  <si>
    <t>fdc36dff-abe7-4c4b-86a1-38ee8e2568fe</t>
  </si>
  <si>
    <t>649d997c-1925-46e9-b7bd-7bec42951976</t>
  </si>
  <si>
    <t>fc1f93a6-d23d-4ee0-8854-68c5ea4b0689</t>
  </si>
  <si>
    <t>f7edf89b-59f4-4ea9-a2ef-db5bf171bea9</t>
  </si>
  <si>
    <t>9e730586-662f-449b-a7a7-c1913786fc8f</t>
  </si>
  <si>
    <t>92791bf8-4a90-47ca-a7a1-c22584e88209</t>
  </si>
  <si>
    <t>6ca36771-c7ef-48e7-a8ad-43add32ebc54</t>
  </si>
  <si>
    <t>f4b01218-9c6c-4049-9ad8-ff4f5ff8eb57</t>
  </si>
  <si>
    <t>6b52f058-3a7f-41b3-8140-a718b50a2a65</t>
  </si>
  <si>
    <t>e8ad3355-86e3-4301-abde-06de8f94f05f</t>
  </si>
  <si>
    <t>c57e69bd-fd08-461e-8425-06dfe159eeab</t>
  </si>
  <si>
    <t>ed6d5389-a0ec-48d1-8835-9e8a9268ab5e</t>
  </si>
  <si>
    <t>c5e1f98d-39be-4773-8040-9b8b8176fc72</t>
  </si>
  <si>
    <t>d4ed51bd-d692-44a2-acbe-4ff616d93ae1</t>
  </si>
  <si>
    <t>54f998b7-d532-4cc0-b89b-84263e144c00</t>
  </si>
  <si>
    <t>01bbb7e2-7f69-4d8f-a4b4-da1c3899c22a</t>
  </si>
  <si>
    <t>f1ecc29a-1f16-476d-bd21-22d2ba2728c5</t>
  </si>
  <si>
    <t>3afe16a4-34b0-4a29-9b19-122b6b5bc344</t>
  </si>
  <si>
    <t>e5feacc6-9871-4ae7-b650-9aa38c770580</t>
  </si>
  <si>
    <t>5b9a1294-46c0-482a-a1bb-c51ef6b1992e</t>
  </si>
  <si>
    <t>43bdb8d8-891c-4575-a81e-810783c7db3a</t>
  </si>
  <si>
    <t>07546082-1ed3-4bb3-93a1-ae0e0b711be7</t>
  </si>
  <si>
    <t>534ccba7-7dc7-4782-bbfe-5d2ca0e86776</t>
  </si>
  <si>
    <t>a34c5791-2aa4-4217-ad84-bee55bd37868</t>
  </si>
  <si>
    <t>a82f5c7e-aeb5-42c3-ae69-5b3f4a17ad31</t>
  </si>
  <si>
    <t>36c74660-f991-49ee-acaf-90c483b9953e</t>
  </si>
  <si>
    <t>20076c5a-58e2-4e91-9c21-c621ccc798df</t>
  </si>
  <si>
    <t>4fa0a558-fd90-4d75-b546-08bd53ac5e92</t>
  </si>
  <si>
    <t>a3889ae8-c144-4527-90a0-3922b0b24b55</t>
  </si>
  <si>
    <t>3f09c013-85bd-4fb1-bf36-0534082e2655</t>
  </si>
  <si>
    <t>53d8f655-7656-4652-839d-ff19f4213a67</t>
  </si>
  <si>
    <t>e52443a5-eea9-4a27-bd9e-08fcbe41ea56</t>
  </si>
  <si>
    <t>7fc46c69-ea06-43e9-9cde-a03154cc9ef2</t>
  </si>
  <si>
    <t>7f9c4940-e41b-4689-9d26-336cab95a44b</t>
  </si>
  <si>
    <t>207b4452-eedb-44ff-bd7f-fc74bbc6f8b7</t>
  </si>
  <si>
    <t>47172938-7719-48d2-8f64-d8011cd855e9</t>
  </si>
  <si>
    <t>b2859258-9883-43a4-8bc0-f4a4250e6318</t>
  </si>
  <si>
    <t>a625421b-89e4-4be1-a016-b5b6bc8065f5</t>
  </si>
  <si>
    <t>e78914fe-2bc7-48b1-a62c-52594dc1ea3c</t>
  </si>
  <si>
    <t>9026f15b-dc54-4d66-8095-555c53aee7e5</t>
  </si>
  <si>
    <t>343bb934-3331-4347-8c1a-51f9bca52579</t>
  </si>
  <si>
    <t>e8c7d9f1-08e0-4b59-bea5-6143989fc9ec</t>
  </si>
  <si>
    <t>b928e6a0-540b-4efd-94ef-344d6b66ba26</t>
  </si>
  <si>
    <t>54cec6a3-c8ec-4076-8140-2fa6756a09be</t>
  </si>
  <si>
    <t>d51d43c3-26cb-4c7b-aa82-9539c6ccd815</t>
  </si>
  <si>
    <t>eced1542-2a6c-40dd-b6cc-22476b3b9695</t>
  </si>
  <si>
    <t>8dca7e3a-0366-4273-8982-e0509c9a6e13</t>
  </si>
  <si>
    <t>1acef37c-8d61-4db6-893d-3d7b7c1351f2</t>
  </si>
  <si>
    <t>b3767ceb-0764-406c-bf7e-995e9927c451</t>
  </si>
  <si>
    <t>deb83dd2-a1de-40c1-95e4-ddc43d71eabb</t>
  </si>
  <si>
    <t>6f97d21b-8b21-42ba-a240-c38c01e0daaf</t>
  </si>
  <si>
    <t>f847fe4c-f409-4c66-9555-ee5d84b55c83</t>
  </si>
  <si>
    <t>7241e4ca-3d07-46a1-8ddc-d25dc4fa262b</t>
  </si>
  <si>
    <t>97886cf0-da67-49b3-b7a9-588d5f740d3c</t>
  </si>
  <si>
    <t>c7d6cf7c-17e7-4d0e-875b-98a6d6cb13ac</t>
  </si>
  <si>
    <t>56952f63-c99e-43c9-abf0-5165e277fe1b</t>
  </si>
  <si>
    <t>7012a5c4-2a32-4a97-aba2-b4ae0730740a</t>
  </si>
  <si>
    <t>89f49ff6-8b85-4239-ae7e-3352b3f2adeb</t>
  </si>
  <si>
    <t>8174332e-8325-40be-8326-64d85e8b4311</t>
  </si>
  <si>
    <t>4cb4ac37-8987-423e-8743-0c8111417413</t>
  </si>
  <si>
    <t>4166b80b-ac6c-4b8a-b5a8-6ab649a2ff85</t>
  </si>
  <si>
    <t>b937a895-5dc4-4729-98a0-36a023232020</t>
  </si>
  <si>
    <t>b98f2acd-02b8-401b-9e8d-885c6c524da8</t>
  </si>
  <si>
    <t>a255337d-7ec9-4bc5-8067-34663c1e58c7</t>
  </si>
  <si>
    <t>f4c84997-16ea-4250-9252-9a19caba9aba</t>
  </si>
  <si>
    <t>47ac0175-db4a-4f79-a6c1-e02d2380282e</t>
  </si>
  <si>
    <t>6803e40c-2755-4ce7-b85c-d36c515e52fe</t>
  </si>
  <si>
    <t>53651805-dbdb-4409-a50c-b9751573cfa1</t>
  </si>
  <si>
    <t>7cc04700-d1f8-4f98-a5a0-cafec3876fb8</t>
  </si>
  <si>
    <t>cae7e8a3-f8ac-453c-86bc-05ea17c7e2b4</t>
  </si>
  <si>
    <t>1f55e704-f7a1-46f7-bf57-88e3cd47874a</t>
  </si>
  <si>
    <t>76d295c4-03f1-4e52-8ac6-6d0089e64011</t>
  </si>
  <si>
    <t>aeb518f8-eb3e-4906-aef0-e1bc1f57f4c8</t>
  </si>
  <si>
    <t>f502ccbb-ff5d-41eb-8c06-56fb1339998b</t>
  </si>
  <si>
    <t>042f2f87-1ed3-4209-b59f-319bb0d5cc94</t>
  </si>
  <si>
    <t>8b7f62c4-a371-489d-99fb-09cc0e8d650b</t>
  </si>
  <si>
    <t>270cb8bc-1cfc-4f63-82e5-2002fa29f732</t>
  </si>
  <si>
    <t>cc8f2e5b-fc3b-4ab7-8b89-ba42095b8ec0</t>
  </si>
  <si>
    <t>09d77150-abff-4a25-909e-e5ba1af6b2cb</t>
  </si>
  <si>
    <t>b4d3060b-69a0-4929-8999-806ccfa0dd49</t>
  </si>
  <si>
    <t>165ede97-1c8b-41c8-9dbf-afb13decddd1</t>
  </si>
  <si>
    <t>07d71e2f-445a-4295-8698-66f28a589b3b</t>
  </si>
  <si>
    <t>161669db-e23f-4288-a3b4-c4f7ee03449b</t>
  </si>
  <si>
    <t>1567b3c9-af7a-48c5-babe-5a8d78a51ef9</t>
  </si>
  <si>
    <t>df8c3e27-4fcb-429e-8b11-667030d226c5</t>
  </si>
  <si>
    <t>880b3ff9-f4b7-461d-a172-56a8de4452be</t>
  </si>
  <si>
    <t>ab985a8a-908a-490a-8ccf-75209e59bec4</t>
  </si>
  <si>
    <t>561e9d96-315d-48d4-83fa-6c59a9e80538</t>
  </si>
  <si>
    <t>2ccc4493-93e8-4944-beef-9915ded12f26</t>
  </si>
  <si>
    <t>293f7a05-bf21-4c55-9f9e-9192ef53c57b</t>
  </si>
  <si>
    <t>444a8dd4-ed0c-4328-962a-1b9a9df606da</t>
  </si>
  <si>
    <t>beca3fee-251e-4b95-868d-ce21b5c868f4</t>
  </si>
  <si>
    <t>b3063ec4-040b-4e15-b296-d8322fca696a</t>
  </si>
  <si>
    <t>d1dfbcc0-61d8-4302-a977-3b06a5da81af</t>
  </si>
  <si>
    <t>9045bac6-ed0c-49ae-b253-fedb54e67545</t>
  </si>
  <si>
    <t>ec103bd3-1e03-40fa-b2ea-8bd1092d92e4</t>
  </si>
  <si>
    <t>5ad7b4e2-764d-43eb-b317-a43daa896ec5</t>
  </si>
  <si>
    <t>532f4c55-998b-4f90-b52a-e18a91a0dc95</t>
  </si>
  <si>
    <t>5d1e9609-74e0-4758-b990-d60f10d3bd99</t>
  </si>
  <si>
    <t>0f568e3f-e636-4972-bfa6-408ff4502bed</t>
  </si>
  <si>
    <t>121bc248-31b6-4567-86ee-04b608c7f351</t>
  </si>
  <si>
    <t>2b70cc1b-484e-4e3b-b895-aaf32bb63944</t>
  </si>
  <si>
    <t>bc1f472f-7a00-49f7-bd07-c97c3647e681</t>
  </si>
  <si>
    <t>9e4b4102-3ee6-440d-b05b-f781861f876b</t>
  </si>
  <si>
    <t>e36ab68a-1d52-4699-a869-1037c731b237</t>
  </si>
  <si>
    <t>57ff0f59-32c9-43a4-a580-353267c016ad</t>
  </si>
  <si>
    <t>066ede0a-8277-485c-b2ab-28fcb5a897fc</t>
  </si>
  <si>
    <t>d7c6dbbc-7722-4ef6-9bfd-dc59eadd6fc5</t>
  </si>
  <si>
    <t>1ca89399-0325-4a72-aa45-b7f7af430b94</t>
  </si>
  <si>
    <t>f47383af-2b14-4841-8b96-eda5e737bad2</t>
  </si>
  <si>
    <t>ffc79d41-17af-4e0c-b4dc-daecf101b856</t>
  </si>
  <si>
    <t>1c598fa1-f543-4e48-a96b-72845f698d12</t>
  </si>
  <si>
    <t>5f0c44b8-2407-44b6-87b9-ae99656b6d12</t>
  </si>
  <si>
    <t>6b60ef72-948e-40eb-9fe4-3d64aace1c9a</t>
  </si>
  <si>
    <t>e11832cc-4ae4-4aa0-a9b6-983cae2fd765</t>
  </si>
  <si>
    <t>8caa33e2-e16b-4a51-b7e6-02f65e573ddd</t>
  </si>
  <si>
    <t>52bbcf37-1e92-4b84-898d-49b63edb1746</t>
  </si>
  <si>
    <t>5b9482ed-1969-4d41-93a5-5d1298b5ee85</t>
  </si>
  <si>
    <t>e0c6c235-34ed-49c1-baa6-ad08d134c04f</t>
  </si>
  <si>
    <t>74cf7701-c7ce-4878-8811-16e5a4c0dde0</t>
  </si>
  <si>
    <t>d3fa4235-ccb9-4f91-94d0-6004429031ce</t>
  </si>
  <si>
    <t>a4ba34dc-4bcc-4f73-9e85-14d9d6836e8a</t>
  </si>
  <si>
    <t>59ce97d0-b1b4-4127-9f74-11e76400a34e</t>
  </si>
  <si>
    <t>d5e25c74-22d7-4432-808e-83a9fd64e98c</t>
  </si>
  <si>
    <t>e0f3a7f1-dffc-4b59-b3ca-d7dbc8af452e</t>
  </si>
  <si>
    <t>69ae74d3-1e55-4507-ac0b-ab2a4929768b</t>
  </si>
  <si>
    <t>1e67caa0-394b-47d7-b935-28dc88c6c9fa</t>
  </si>
  <si>
    <t>17229ab9-8311-47c2-b8cd-ebc91acaf41d</t>
  </si>
  <si>
    <t>9c2db334-96f1-4b44-987b-0ae0d15ad032</t>
  </si>
  <si>
    <t>1bb95696-2ce3-446b-96e8-149b93dd0df4</t>
  </si>
  <si>
    <t>4b48fac4-27af-41aa-88c1-7d748eba5bfd</t>
  </si>
  <si>
    <t>f3319ca4-e072-40c4-b3f6-9e79afcc43c3</t>
  </si>
  <si>
    <t>7397d0dc-9948-4fcc-9624-c9e99f67895e</t>
  </si>
  <si>
    <t>2e4e8052-329d-4a1d-8634-adf6b18376d0</t>
  </si>
  <si>
    <t>a54389d5-bdda-4347-9ee6-44305be5c099</t>
  </si>
  <si>
    <t>97789958-f5ab-4b11-bff0-b97aa1f98f23</t>
  </si>
  <si>
    <t>5d0e65c6-3b78-4475-9ab4-94b0739262f3</t>
  </si>
  <si>
    <t>4e7e6db1-ef4c-418d-8cd6-b614683a9c59</t>
  </si>
  <si>
    <t>fde44283-e890-40ff-bd11-4aa2aeeaecc6</t>
  </si>
  <si>
    <t>0fc54496-74ab-4658-80d1-e139b8cd969b</t>
  </si>
  <si>
    <t>601cd700-5665-4d06-b51c-d227d2786f93</t>
  </si>
  <si>
    <t>07dc5d2e-767d-4080-b4d5-298032ac9612</t>
  </si>
  <si>
    <t>f7a5e90a-cc59-422d-9a1a-c1e7c5126c80</t>
  </si>
  <si>
    <t>fd2fd1af-dcc1-49a8-a303-166416c7e56a</t>
  </si>
  <si>
    <t>b7138d19-26ac-46c3-b9e6-e3e903b9151c</t>
  </si>
  <si>
    <t>6a4cfb4b-9222-4a53-9e64-b288801f75e8</t>
  </si>
  <si>
    <t>76fbba77-b1d5-4851-a4e2-ec8f60963944</t>
  </si>
  <si>
    <t>9b935e61-28d1-4f89-87f9-e252d474ae8e</t>
  </si>
  <si>
    <t>1716ea8d-48a9-4985-b801-de4d5cc30d09</t>
  </si>
  <si>
    <t>5073fc2b-c647-4e3c-8e19-967b8102ce40</t>
  </si>
  <si>
    <t>f2b93b20-1b05-4e23-be4b-7f1b8be59b06</t>
  </si>
  <si>
    <t>27957d2c-ed54-49c9-8de2-d5725244f1dc</t>
  </si>
  <si>
    <t>5bbd0550-f2ca-475d-a03d-0050d9f463e7</t>
  </si>
  <si>
    <t>2a38cb43-c741-479f-8acb-134cc31d22be</t>
  </si>
  <si>
    <t>ba837d90-8953-4484-adde-60d2bed50932</t>
  </si>
  <si>
    <t>5864e3bb-b4b5-4fe3-8be4-a147ad675d56</t>
  </si>
  <si>
    <t>0e157886-bfdc-4443-a507-ce009b8d1616</t>
  </si>
  <si>
    <t>bedc3314-a490-4d37-bf6b-19debcaf7641</t>
  </si>
  <si>
    <t>59b899b6-6b2c-47b7-9bba-5ce9c1f6c6b6</t>
  </si>
  <si>
    <t>7d7476b1-a5bf-46d8-ba41-87d02822553d</t>
  </si>
  <si>
    <t>b4c0e1d8-3ef3-4973-b76f-5697228edfbd</t>
  </si>
  <si>
    <t>b9196453-2aff-4792-b328-6a4807be6722</t>
  </si>
  <si>
    <t>7aa95e0c-880f-42fd-96a6-1a5d05516291</t>
  </si>
  <si>
    <t>670fd490-c5bb-4959-80a2-f403fbb8e582</t>
  </si>
  <si>
    <t>f1fed80d-21c2-4541-a28b-0c3dc66f1b7a</t>
  </si>
  <si>
    <t>b1aa2f93-83ab-40c7-9112-c36a07ae8496</t>
  </si>
  <si>
    <t>3d73d3cb-6ec6-4cea-9c44-48e5b7df07ad</t>
  </si>
  <si>
    <t>abf39a7d-2b6b-40f8-92f9-43e8688ddd04</t>
  </si>
  <si>
    <t>276e0348-4583-4fc6-90e9-547884661e3f</t>
  </si>
  <si>
    <t>f32a7dc2-ecab-4d9f-979a-bc836449761d</t>
  </si>
  <si>
    <t>9dd176a2-eda1-466e-ab83-223a0c42e888</t>
  </si>
  <si>
    <t>32a1b109-f7d2-4379-99ef-0af51d1f9863</t>
  </si>
  <si>
    <t>79e73ca8-7972-4bce-8a0d-dc23df99f443</t>
  </si>
  <si>
    <t>2536c20e-4329-4eef-aa6d-b5baa7452ec1</t>
  </si>
  <si>
    <t>a33d8bd7-90ae-40f3-bd34-c1a10cce431c</t>
  </si>
  <si>
    <t>b5c75c9b-f549-4fe4-871d-b312aeee86d5</t>
  </si>
  <si>
    <t>ebb05e2e-895b-43fd-a52b-8b4566cde895</t>
  </si>
  <si>
    <t>baa57f5e-f169-45a8-bf1c-8815e8983868</t>
  </si>
  <si>
    <t>02e6112a-0dab-4f5c-9e5d-85496d49693c</t>
  </si>
  <si>
    <t>ea1af037-e430-4efe-bc54-2eb0d996b46a</t>
  </si>
  <si>
    <t>aec9ceba-13bd-40c5-a24c-a866de7d0d3a</t>
  </si>
  <si>
    <t>bd4a680f-deaa-41e2-ac04-830d7ffef01f</t>
  </si>
  <si>
    <t>21e8b52f-bd8b-4328-b7a8-81a1339f0c4e</t>
  </si>
  <si>
    <t>662741f2-2d7c-4a53-9611-3d2cb8698d5b</t>
  </si>
  <si>
    <t>549c4c57-b108-49a5-8117-13fb9232b9b2</t>
  </si>
  <si>
    <t>6600bef8-4b4e-4db2-8eb1-d9fd33dc02db</t>
  </si>
  <si>
    <t>bbc8a22d-73ce-4dc5-b24e-bcd0471eda53</t>
  </si>
  <si>
    <t>80e9889d-e42d-4ba0-a2d4-870ae3604ea5</t>
  </si>
  <si>
    <t>c5db2a8a-ab7b-4aae-a56e-bf61a931a341</t>
  </si>
  <si>
    <t>32aecec3-fd1b-4535-b714-f11ac923bc39</t>
  </si>
  <si>
    <t>54d0a31f-e1df-4b76-8ae2-eeaad0e8adb5</t>
  </si>
  <si>
    <t>771079e2-107e-41d3-90e1-fed306ccff31</t>
  </si>
  <si>
    <t>b0e18a3a-cae2-49d0-b0f7-32f7eb5015f1</t>
  </si>
  <si>
    <t>6f7a08bc-65b5-4e18-b5da-1e585d565c5e</t>
  </si>
  <si>
    <t>d57a00a3-4600-4654-b637-9ee556bf4493</t>
  </si>
  <si>
    <t>f2efa5e8-17b5-4b40-8838-51f3d8455428</t>
  </si>
  <si>
    <t>095d5173-1763-4654-9954-0c61e4c0cf58</t>
  </si>
  <si>
    <t>8174b1ef-33c9-4188-8995-a1fc5f852af7</t>
  </si>
  <si>
    <t>8b023767-81f0-4655-bca1-eacd659d97d7</t>
  </si>
  <si>
    <t>779f5650-5f62-4f6c-b6e8-2a48f65b74b8</t>
  </si>
  <si>
    <t>32dfbb79-9223-4b7e-b586-892779cc7c42</t>
  </si>
  <si>
    <t>de6d7350-7e1a-48bf-b3fa-712f390a08d3</t>
  </si>
  <si>
    <t>7a042e34-130a-4345-9816-ee40ecb9f48a</t>
  </si>
  <si>
    <t>a1c61284-5f9e-40cd-b109-f5b312be8c77</t>
  </si>
  <si>
    <t>7729b1de-4301-4323-a8ee-559d1f3cf8c7</t>
  </si>
  <si>
    <t>3dd3cb3c-704b-4b61-a2c7-b31e5da9cdbc</t>
  </si>
  <si>
    <t>3f76c950-99ce-451b-9008-43e0fc8c30f9</t>
  </si>
  <si>
    <t>83d58e09-266f-4c1e-81bf-5e37846266db</t>
  </si>
  <si>
    <t>6cbbe8a0-c6db-44d6-9c1d-3d38c849b8cd</t>
  </si>
  <si>
    <t>ec3672c8-ad3f-40b6-9e8a-6d761910f49d</t>
  </si>
  <si>
    <t>6766916e-d20b-43f1-9d43-704c8e1a6be9</t>
  </si>
  <si>
    <t>9cc4ff93-4fd9-4a8f-adc6-e92562d55697</t>
  </si>
  <si>
    <t>46d0db98-8d03-4321-a887-8b4c9225394d</t>
  </si>
  <si>
    <t>8d9c8097-81ed-4bab-b10e-03155aeb3613</t>
  </si>
  <si>
    <t>200dcee4-5427-4c44-9f54-09f20ae858cc</t>
  </si>
  <si>
    <t>ab19f6b2-455d-4e28-ab27-e1793afc9092</t>
  </si>
  <si>
    <t>f9e763d9-2cd0-48c2-acec-a3f5842fa199</t>
  </si>
  <si>
    <t>34f0bdee-5dcd-45b7-9d6f-4712f68193da</t>
  </si>
  <si>
    <t>3c2f54de-fb9b-4c45-93b4-4e7e0eeb7794</t>
  </si>
  <si>
    <t>9eb3214e-5b16-4354-942e-a869cfd9b339</t>
  </si>
  <si>
    <t>b1d2fc5b-8afe-4f3b-bc06-b7613ab877ce</t>
  </si>
  <si>
    <t>41c88b1f-12ac-4b7f-b914-744b20a231f3</t>
  </si>
  <si>
    <t>8ac6e689-cd07-4934-be8c-80f88b983444</t>
  </si>
  <si>
    <t>0d816d4a-fd6b-4ceb-9aca-7acd33b87dd4</t>
  </si>
  <si>
    <t>8250239c-7c84-41d8-b86f-d5d5fdb3242a</t>
  </si>
  <si>
    <t>59bd24ba-fd13-43d9-8640-57446ba1332a</t>
  </si>
  <si>
    <t>54efbf6c-1941-4c5b-9a94-eeed199831f0</t>
  </si>
  <si>
    <t>6bca1e75-9ae5-438a-b81f-9891daeac25a</t>
  </si>
  <si>
    <t>170c4a9f-1705-47f2-b328-80ad332410ef</t>
  </si>
  <si>
    <t>45047444-2a61-48b2-84fa-18022c7b33ea</t>
  </si>
  <si>
    <t>7ac35a42-e508-4dee-a268-28e81eeaf6fa</t>
  </si>
  <si>
    <t>816c03df-3e33-4680-85c0-826ac67c6d5a</t>
  </si>
  <si>
    <t>e0bc7751-2564-424d-ab0d-4f95fb2ddb8b</t>
  </si>
  <si>
    <t>1669782b-67bc-4149-82c3-a5fd79f5f78f</t>
  </si>
  <si>
    <t>16a2f117-c048-4306-8b8b-f507787c1ffe</t>
  </si>
  <si>
    <t>dbe5f8a1-3846-4e03-bc68-40cd8e99a492</t>
  </si>
  <si>
    <t>df0949fd-21f4-448f-b381-999bce334eef</t>
  </si>
  <si>
    <t>bd0f8012-f3cf-4c33-a361-64d8bb8871b8</t>
  </si>
  <si>
    <t>828fe61e-42a5-41ea-827a-dce99ae4f644</t>
  </si>
  <si>
    <t>2b46a2ca-3f10-4262-b680-0d7abb11edbc</t>
  </si>
  <si>
    <t>97347e13-b017-42d8-a192-9d49fa67fa2b</t>
  </si>
  <si>
    <t>243b4fdd-2773-4160-9b4b-062bd8b76829</t>
  </si>
  <si>
    <t>12de4d01-bd35-4f16-91f2-2cad309cb6d4</t>
  </si>
  <si>
    <t>b6010214-6273-433d-abee-670f554e189d</t>
  </si>
  <si>
    <t>4f3efa5e-09d5-4d63-a001-01560aa728af</t>
  </si>
  <si>
    <t>c84cff1d-5956-4f02-982a-40428d6200ae</t>
  </si>
  <si>
    <t>7b3bac45-ba36-4d69-bf4a-f60847745377</t>
  </si>
  <si>
    <t>70a79039-285f-41cc-a562-1df7502d4aa4</t>
  </si>
  <si>
    <t>848721a9-7460-4e94-bc25-8fb9fecce64d</t>
  </si>
  <si>
    <t>e1a27833-b0b2-472e-a084-035c63b5f759</t>
  </si>
  <si>
    <t>5d6574dc-d3e1-4087-b3b1-32de9f77fa69</t>
  </si>
  <si>
    <t>562d7286-f9a6-4893-b506-33c0bf925fec</t>
  </si>
  <si>
    <t>6d1eb8b8-36c8-4def-a129-9401bc3d1755</t>
  </si>
  <si>
    <t>df529b12-9810-419d-af92-f740a126c4f0</t>
  </si>
  <si>
    <t>237709ca-99da-45b4-83dd-6001d5b172f1</t>
  </si>
  <si>
    <t>09c18ae3-c5ee-4a53-bf5c-e5050c05c960</t>
  </si>
  <si>
    <t>e0000fa0-95cf-4f7f-bb9b-ece11295c063</t>
  </si>
  <si>
    <t>e6911734-3c3b-4ded-82c1-3e9f72b8ffe7</t>
  </si>
  <si>
    <t>4dd68d36-6cfd-4281-a34a-06143b7443ee</t>
  </si>
  <si>
    <t>9954748a-0297-49f9-9f88-3e7bfd02e6af</t>
  </si>
  <si>
    <t>28751b49-25f7-429b-8ada-56bd34f2cada</t>
  </si>
  <si>
    <t>7ef4dd9d-ed04-4250-93e8-b9f1798b87b9</t>
  </si>
  <si>
    <t>fd96f9f2-1b5f-425b-9b86-9463464af45f</t>
  </si>
  <si>
    <t>9de8f237-3d67-4462-b7fb-74c03a654040</t>
  </si>
  <si>
    <t>ae3abb7c-f8b8-4678-9e02-a39e24db81ce</t>
  </si>
  <si>
    <t>91b2dc2c-b261-42e2-b2d9-a36e2174cdce</t>
  </si>
  <si>
    <t>ceaf5159-ffd5-4b2e-a52c-cbaedc8b970e</t>
  </si>
  <si>
    <t>48bb1b21-a9df-4569-b0f2-c3c5a9df3519</t>
  </si>
  <si>
    <t>6bab109e-8ca0-4a1d-9a71-5d33b1488c52</t>
  </si>
  <si>
    <t>8ec10d46-b2ff-4c4f-b86b-a07bb54fe223</t>
  </si>
  <si>
    <t>c491075c-caca-4683-b629-52ef1cbedf5b</t>
  </si>
  <si>
    <t>0cdab216-ecf5-44ff-a36f-ff850cb61777</t>
  </si>
  <si>
    <t>60c00bd9-5cf8-417e-ac34-324534cfa45e</t>
  </si>
  <si>
    <t>a6a79170-8d57-4bec-a278-4425b88609cf</t>
  </si>
  <si>
    <t>e30481a5-6606-499b-af90-4d382fc33c2d</t>
  </si>
  <si>
    <t>e2c38e54-d20d-4312-a41d-2c338695f9b8</t>
  </si>
  <si>
    <t>bb933b84-9e99-4246-b4d3-835c41d74a3c</t>
  </si>
  <si>
    <t>de44ea84-dcaa-4cce-8563-33697495c7e1</t>
  </si>
  <si>
    <t>5c5c92d0-dcaf-494d-8b0e-ab3c26205321</t>
  </si>
  <si>
    <t>3c4edc00-6928-462f-a639-5a97b25967c0</t>
  </si>
  <si>
    <t>060db3ed-accf-4dc4-bbe4-3077f1455866</t>
  </si>
  <si>
    <t>d673fdfb-cbcc-4da5-9653-a80bb6c41e79</t>
  </si>
  <si>
    <t>d1f80d45-5237-4c42-b88e-e0804299d7f4</t>
  </si>
  <si>
    <t>51f77d24-9d0c-48c8-9893-7f51bb279fa3</t>
  </si>
  <si>
    <t>2bd918ed-e1e6-434c-84e0-35a89966aa48</t>
  </si>
  <si>
    <t>8cf78e49-3127-4d8f-9a47-2aa43fcaff6c</t>
  </si>
  <si>
    <t>36425264-9d11-40cf-ad83-0e33b7ed7bcf</t>
  </si>
  <si>
    <t>ed509b48-1563-47d9-b574-2884d5456769</t>
  </si>
  <si>
    <t>11623bd2-cad6-4db8-ab34-a50fdb9f3f55</t>
  </si>
  <si>
    <t>8e914e60-2af1-4108-8e06-13451afd64a1</t>
  </si>
  <si>
    <t>0603e441-3007-4501-8fa3-4543b36c117a</t>
  </si>
  <si>
    <t>7b8eded1-85bc-47e9-91f8-1f6b8cc4e5ca</t>
  </si>
  <si>
    <t>5b5b6b0a-d807-4de9-98ae-1d957fa2bc8e</t>
  </si>
  <si>
    <t>764534ae-c086-4c36-9b22-6d7d6e066b6c</t>
  </si>
  <si>
    <t>df337753-10bb-4bdb-bbf0-4a9664a09784</t>
  </si>
  <si>
    <t>11c20620-2464-4d5d-a9f9-2bc9b6210bda</t>
  </si>
  <si>
    <t>cce31eb0-b39f-437e-9a93-74b116e1e094</t>
  </si>
  <si>
    <t>d48c99c8-b97f-408e-967c-44f24cf40b3d</t>
  </si>
  <si>
    <t>18874510-3c31-4de3-9ce2-62ddb97c9cf7</t>
  </si>
  <si>
    <t>b7c19309-46e7-4aab-b757-c0909f621663</t>
  </si>
  <si>
    <t>36909f93-d4f1-4063-a847-a6773cf4c2cd</t>
  </si>
  <si>
    <t>8c43ba5f-f6fb-44d8-a69f-5a8170a666f3</t>
  </si>
  <si>
    <t>bd9e0f57-3091-4c6c-9cac-6fd8cb875bbd</t>
  </si>
  <si>
    <t>992c2bc2-9a7a-404f-a2d2-1847d5183bae</t>
  </si>
  <si>
    <t>0217f0a3-3096-445e-a061-ddc6765dfe41</t>
  </si>
  <si>
    <t>491082d3-ac27-4cc7-96e9-68a3e02856bd</t>
  </si>
  <si>
    <t>2e58dc87-d9a5-471e-a5be-0c183a8e64ee</t>
  </si>
  <si>
    <t>7a3e059d-8181-42f8-a35f-b5778d73b68a</t>
  </si>
  <si>
    <t>619ea432-f78c-4f9b-a379-c6c403395ac4</t>
  </si>
  <si>
    <t>d5852a16-c313-474b-ae9b-54fe51206bb8</t>
  </si>
  <si>
    <t>5ac0407b-8f06-41a1-8d9e-cdf129ebdc72</t>
  </si>
  <si>
    <t>93e068b6-8a74-4e57-8710-e3b872ad02e6</t>
  </si>
  <si>
    <t>6ca8169f-5c8d-4f4a-91d7-ad856e2dc604</t>
  </si>
  <si>
    <t>7320132a-f73a-47dd-aa47-1f3cc6e948c0</t>
  </si>
  <si>
    <t>0383ee73-aac5-4626-a45e-e216f31564a2</t>
  </si>
  <si>
    <t>6abeaf2e-7234-47bf-ac48-d008d10df862</t>
  </si>
  <si>
    <t>59fb7db0-d066-4468-a834-b24b68e4ff09</t>
  </si>
  <si>
    <t>6847b6d3-1bb9-4a28-939f-c0fa965db589</t>
  </si>
  <si>
    <t>b8479ed1-55fe-4307-9371-deb152dbbe53</t>
  </si>
  <si>
    <t>9b7bb109-d01b-4f9d-a396-c5f69fbdacfc</t>
  </si>
  <si>
    <t>5f6fbe73-6cc3-4cb2-a94a-07acdb1f97c8</t>
  </si>
  <si>
    <t>05a0101a-a25b-4a1c-803d-a5dff75db892</t>
  </si>
  <si>
    <t>b1ddf686-6e71-49aa-beff-be385bed2fe6</t>
  </si>
  <si>
    <t>2471781c-3479-417b-a501-fa4c324c4c8d</t>
  </si>
  <si>
    <t>ac1e5641-dc89-46af-9fc4-6c45572d63da</t>
  </si>
  <si>
    <t>ae0b3964-addb-4017-9049-fc683f2ddbb3</t>
  </si>
  <si>
    <t>1f7acf8e-8aa6-4e01-8f31-066b81f78159</t>
  </si>
  <si>
    <t>c200f3ad-8e47-4fee-b47c-daa5a2eff77c</t>
  </si>
  <si>
    <t>f62efe5e-8ae9-436d-b983-02309db2d306</t>
  </si>
  <si>
    <t>2f1e8235-5f2f-463b-83a3-801c758a45e4</t>
  </si>
  <si>
    <t>3cd2d63f-1503-4b35-a28e-d9e86bb9ac7b</t>
  </si>
  <si>
    <t>c2a08573-97f9-4b95-ba54-b955c49b1e9e</t>
  </si>
  <si>
    <t>40df1ff1-138e-46ed-8e49-b6281f869dbb</t>
  </si>
  <si>
    <t>ad7b5582-fa5c-4d1e-bf33-28d768a553b8</t>
  </si>
  <si>
    <t>94048179-7443-4f85-b0d3-3909469a39a6</t>
  </si>
  <si>
    <t>feef3520-3034-4841-92a9-e2a16250ac11</t>
  </si>
  <si>
    <t>029c62df-f5cb-4a79-8789-03e9231edbc7</t>
  </si>
  <si>
    <t>997916e0-685c-4595-8244-052ce7c11cf1</t>
  </si>
  <si>
    <t>ced29e97-7a00-4e2c-8a67-b07491c8aa21</t>
  </si>
  <si>
    <t>5e30e4c3-daee-467f-b178-d8c2185a1334</t>
  </si>
  <si>
    <t>dcfa0426-8c43-40c2-a229-68f34e117080</t>
  </si>
  <si>
    <t>8b1a8951-a3cf-4a95-937c-db0340bd6acc</t>
  </si>
  <si>
    <t>1a86e241-1827-458d-84ed-a72bb9a92872</t>
  </si>
  <si>
    <t>00edb229-b6b5-4cde-a234-0b21c4d15705</t>
  </si>
  <si>
    <t>17a04f42-fd0d-467d-8d3e-1e1ea979ed66</t>
  </si>
  <si>
    <t>56731588-79d3-4f63-8c4a-3950345d7816</t>
  </si>
  <si>
    <t>bb352ec1-3e1a-47de-8214-f93c3152e057</t>
  </si>
  <si>
    <t>e1715a0b-58d2-4ff2-b63d-0aa34ee06a50</t>
  </si>
  <si>
    <t>4ae8c27f-a271-4a56-9637-e01252c14036</t>
  </si>
  <si>
    <t>6eae7cf6-2691-46b5-a135-eddaa03ab089</t>
  </si>
  <si>
    <t>342f9997-fa55-466d-8738-5955a8f1fe2e</t>
  </si>
  <si>
    <t>2a13bb90-8ce8-4242-a91c-9e3745b066d9</t>
  </si>
  <si>
    <t>b1867025-9176-447d-99e8-d575e782e928</t>
  </si>
  <si>
    <t>68bb7758-eead-4250-a2dd-cca82eb89481</t>
  </si>
  <si>
    <t>d12646a0-87e2-46d3-9a62-f533cebfaef0</t>
  </si>
  <si>
    <t>ac2dd428-f9d0-456f-9d3c-8f95ee038c4b</t>
  </si>
  <si>
    <t>736d7f07-8be6-4444-a557-66e3a4a2f73c</t>
  </si>
  <si>
    <t>3a84b7ac-adf6-4adc-b73e-0acd0e28d9cd</t>
  </si>
  <si>
    <t>d15b83f0-2149-4f67-9c86-29e2787c4a51</t>
  </si>
  <si>
    <t>month</t>
  </si>
  <si>
    <t>Опис:  Найпопулярніші жанри: Thriller і Action.
 Пік активності користувачів — в жовтні 2023 року .</t>
  </si>
  <si>
    <t>Динаміка користувацької активності по місяцях.
Визначає, як змінюється активність користувачів з часом: скільки сесій, скільки хвилин перегляду та середній час на сесію.
Це дає змогу оцінити рівень залученості користувачів і виявити зміни в поведінці аудиторії</t>
  </si>
  <si>
    <t>Популярність жанрів у користувачів.
Аналізує, які жанри найчастіше переглядають користувачі.
Найпопулярнішими є Thriller та Action, з високим середнім часом перегляду і показником завершення перегляду.
Це допомагає компанії зрозуміти, у які жанри інвестувати більше контенту</t>
  </si>
  <si>
    <t>Аналіз відтоку користувачів за типом підписки.
Цей запит використовує підзапит (WITH churn_data) для визначення, який тариф має найбільший рівень відтоку користувачів.
Результати показують, що тариф Basic має найвищий churn rate (≈10,7%), а Standard — найнижчий (≈5,3%).
Це важливо для компанії, щоб зрозуміти, які підписки потребують покращення утримання клієнтів.</t>
  </si>
  <si>
    <t>Dashboard: Streaming Service KPIs</t>
  </si>
  <si>
    <t>Популярність жанрів серед користувачів</t>
  </si>
  <si>
    <t>Відтік користувачів за типом підписки</t>
  </si>
  <si>
    <t>KPI</t>
  </si>
  <si>
    <t>Опис</t>
  </si>
  <si>
    <t xml:space="preserve"> Значення</t>
  </si>
  <si>
    <t>Формат</t>
  </si>
  <si>
    <t>sessions</t>
  </si>
  <si>
    <t>total_minutes</t>
  </si>
  <si>
    <t>avg_minutes</t>
  </si>
  <si>
    <t>completion_rate</t>
  </si>
  <si>
    <t>users</t>
  </si>
  <si>
    <t>churned_users</t>
  </si>
  <si>
    <t>churn_rate</t>
  </si>
  <si>
    <t>Total Watch Time</t>
  </si>
  <si>
    <t>Загальна кількість переглянутих хвилин</t>
  </si>
  <si>
    <t>56 532</t>
  </si>
  <si>
    <t>хвилини</t>
  </si>
  <si>
    <t>Average Watch per Session</t>
  </si>
  <si>
    <t>Середня тривалість перегляду</t>
  </si>
  <si>
    <t>94,2</t>
  </si>
  <si>
    <t>Completion Rate</t>
  </si>
  <si>
    <t>Частка завершених переглядів</t>
  </si>
  <si>
    <t>відсотки</t>
  </si>
  <si>
    <t>Churn Rate</t>
  </si>
  <si>
    <t>Найвищий відтік користувачів</t>
  </si>
  <si>
    <t>10,7</t>
  </si>
  <si>
    <t>Динаміка переглядів по місяцях</t>
  </si>
  <si>
    <t xml:space="preserve"> total_watch_minutes</t>
  </si>
  <si>
    <t>total_sessions</t>
  </si>
  <si>
    <t>avg_watch_per_session</t>
  </si>
  <si>
    <r>
      <rPr>
        <rFont val="Arial"/>
        <b/>
        <color theme="1"/>
        <sz val="14.0"/>
      </rPr>
      <t>Висновки:</t>
    </r>
    <r>
      <rPr>
        <rFont val="Arial"/>
        <color theme="1"/>
      </rPr>
      <t xml:space="preserve">
Найпопулярніші жанри — Thriller і Action. 
Найбільший відтік користувачів спостерігається у тарифі Basic.
Загальна активність користувачів зростає з місяця в місяць.</t>
    </r>
  </si>
  <si>
    <t>Підсумкові висновки за результатами аналізу:</t>
  </si>
  <si>
    <t>Що показав загальний аналіз користувацької активності?</t>
  </si>
  <si>
    <t>Активність користувачів стабільно зростає — кількість сесій і тривалість перегляду підвищуються щомісяця, що свідчить про зростання залученості аудиторії</t>
  </si>
  <si>
    <t>Які жанри користуються найбільшою популярністю?</t>
  </si>
  <si>
    <t>Найбільше переглядів отримують жанри Thriller і Action, вони приносять найбільшу кількість хвилин перегляду та мають стабільну частку завершених переглядів</t>
  </si>
  <si>
    <t>Чи є жанри з нижчими, але стабільними показниками утримання?</t>
  </si>
  <si>
    <t>Так, Comedy і Drama мають дещо менше сесій, але високу частку завершених переглядів (≈70%), що свідчить про лояльну аудиторію</t>
  </si>
  <si>
    <t>Які ключові показники ефективності сервісу?</t>
  </si>
  <si>
    <t>ередня тривалість перегляду становить 94 хвилини, а частка завершених переглядів (Completion Rate) — 71%, що є хорошими показниками залучення</t>
  </si>
  <si>
    <t>Який рівень відтоку користувачів (churn rate) і які тарифи мають найвищі ризики?</t>
  </si>
  <si>
    <t>Найвищий рівень відтоку — у тарифі Basic (10,7%), найнижчий — у Standard (5,3%). Це вказує, що базовий тариф потребує покращення або додаткових бонусів</t>
  </si>
  <si>
    <t>Які рекомендації можна дати бізнесу?</t>
  </si>
  <si>
    <t>Варто інвестувати в створення контенту жанрів Thriller і Action,
покращити пропозицію тарифу Basic</t>
  </si>
  <si>
    <t>Який загальний висновок можна зробити?</t>
  </si>
  <si>
    <t>Платформа має стабільне зростання користувачів, високий рівень утримання аудиторії та потенціал для подальшого розвитку за рахунок покращення тарифів і контенту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</si>
</sst>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 ###"/>
    <numFmt numFmtId="166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</font>
    <font>
      <b/>
      <sz val="11.0"/>
      <color rgb="FF000000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1" numFmtId="0" xfId="0" applyBorder="1" applyFont="1"/>
    <xf borderId="1" fillId="0" fontId="1" numFmtId="14" xfId="0" applyBorder="1" applyFont="1" applyNumberFormat="1"/>
    <xf borderId="1" fillId="0" fontId="1" numFmtId="165" xfId="0" applyBorder="1" applyFont="1" applyNumberFormat="1"/>
    <xf borderId="1" fillId="2" fontId="1" numFmtId="0" xfId="0" applyBorder="1" applyFont="1"/>
    <xf borderId="0" fillId="0" fontId="1" numFmtId="0" xfId="0" applyAlignment="1" applyFont="1">
      <alignment readingOrder="0" shrinkToFit="0" wrapText="1"/>
    </xf>
    <xf borderId="0" fillId="0" fontId="1" numFmtId="165" xfId="0" applyFont="1" applyNumberForma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vertical="bottom"/>
    </xf>
    <xf borderId="1" fillId="4" fontId="6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165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2" fillId="2" fontId="7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 shrinkToFit="0" vertical="bottom" wrapText="1"/>
    </xf>
    <xf borderId="1" fillId="0" fontId="2" numFmtId="166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2" fillId="5" fontId="8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переглядів по жанрам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EDA!$P$2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EDA!$O$3:$O$7</c:f>
            </c:strRef>
          </c:cat>
          <c:val>
            <c:numRef>
              <c:f>EDA!$P$3:$P$7</c:f>
              <c:numCache/>
            </c:numRef>
          </c:val>
        </c:ser>
        <c:axId val="47150397"/>
        <c:axId val="1315100124"/>
      </c:barChart>
      <c:catAx>
        <c:axId val="47150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100124"/>
      </c:catAx>
      <c:valAx>
        <c:axId val="1315100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50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сумарний час переглядів за місяцями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EDA!$T$2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EDA!$S$3:$S$14</c:f>
            </c:strRef>
          </c:cat>
          <c:val>
            <c:numRef>
              <c:f>EDA!$T$3:$T$14</c:f>
              <c:numCache/>
            </c:numRef>
          </c:val>
        </c:ser>
        <c:axId val="1844536628"/>
        <c:axId val="754430324"/>
      </c:barChart>
      <c:catAx>
        <c:axId val="18445366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430324"/>
      </c:catAx>
      <c:valAx>
        <c:axId val="7544303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total_watch_minutes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5366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переглядів по місяцях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Dashboard!$B$10</c:f>
            </c:strRef>
          </c:tx>
          <c:spPr>
            <a:solidFill>
              <a:srgbClr val="FFD966"/>
            </a:solidFill>
            <a:ln cmpd="sng">
              <a:solidFill>
                <a:srgbClr val="134F5C">
                  <a:alpha val="100000"/>
                </a:srgbClr>
              </a:solidFill>
            </a:ln>
          </c:spPr>
          <c:cat>
            <c:strRef>
              <c:f>Dashboard!$A$11:$A$13</c:f>
            </c:strRef>
          </c:cat>
          <c:val>
            <c:numRef>
              <c:f>Dashboard!$B$11:$B$13</c:f>
              <c:numCache/>
            </c:numRef>
          </c:val>
        </c:ser>
        <c:axId val="1191230889"/>
        <c:axId val="566344480"/>
      </c:barChart>
      <c:catAx>
        <c:axId val="1191230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344480"/>
      </c:catAx>
      <c:valAx>
        <c:axId val="566344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total_watch_minutes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230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Популярність жанрів серед користувачів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Dashboard!$G$2</c:f>
            </c:strRef>
          </c:tx>
          <c:spPr>
            <a:solidFill>
              <a:srgbClr val="B6D7A8"/>
            </a:solidFill>
            <a:ln cmpd="sng">
              <a:solidFill>
                <a:srgbClr val="274E13">
                  <a:alpha val="100000"/>
                </a:srgbClr>
              </a:solidFill>
            </a:ln>
          </c:spPr>
          <c:cat>
            <c:strRef>
              <c:f>Dashboard!$F$3:$F$7</c:f>
            </c:strRef>
          </c:cat>
          <c:val>
            <c:numRef>
              <c:f>Dashboard!$G$3:$G$7</c:f>
              <c:numCache/>
            </c:numRef>
          </c:val>
        </c:ser>
        <c:axId val="1379332372"/>
        <c:axId val="570570494"/>
      </c:barChart>
      <c:catAx>
        <c:axId val="1379332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570494"/>
      </c:catAx>
      <c:valAx>
        <c:axId val="570570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332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Відтік користувачів за типом підписки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Dashboard!$O$2</c:f>
            </c:strRef>
          </c:tx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Dashboard!$L$3:$L$5</c:f>
            </c:strRef>
          </c:cat>
          <c:val>
            <c:numRef>
              <c:f>Dashboard!$O$3:$O$5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933450</xdr:colOff>
      <xdr:row>7</xdr:row>
      <xdr:rowOff>0</xdr:rowOff>
    </xdr:from>
    <xdr:ext cx="4657725" cy="28860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923925</xdr:colOff>
      <xdr:row>14</xdr:row>
      <xdr:rowOff>19050</xdr:rowOff>
    </xdr:from>
    <xdr:ext cx="4848225" cy="30003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6038850" cy="2933700"/>
    <xdr:pic>
      <xdr:nvPicPr>
        <xdr:cNvPr id="0" name="image2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2933700</xdr:rowOff>
    </xdr:from>
    <xdr:ext cx="6038850" cy="2933700"/>
    <xdr:pic>
      <xdr:nvPicPr>
        <xdr:cNvPr id="0" name="image3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</xdr:row>
      <xdr:rowOff>2867025</xdr:rowOff>
    </xdr:from>
    <xdr:ext cx="6038850" cy="2933700"/>
    <xdr:pic>
      <xdr:nvPicPr>
        <xdr:cNvPr id="0" name="image1.jp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190500</xdr:rowOff>
    </xdr:from>
    <xdr:ext cx="4791075" cy="29622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7</xdr:row>
      <xdr:rowOff>0</xdr:rowOff>
    </xdr:from>
    <xdr:ext cx="4791075" cy="29622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142875</xdr:colOff>
      <xdr:row>5</xdr:row>
      <xdr:rowOff>0</xdr:rowOff>
    </xdr:from>
    <xdr:ext cx="4143375" cy="24384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45135.0</v>
      </c>
      <c r="D2" s="1">
        <v>6.1661035E7</v>
      </c>
      <c r="E2" s="1" t="s">
        <v>14</v>
      </c>
      <c r="F2" s="1" t="s">
        <v>15</v>
      </c>
      <c r="G2" s="1">
        <v>140.0</v>
      </c>
      <c r="H2" s="1">
        <v>1.0</v>
      </c>
      <c r="I2" s="1" t="s">
        <v>16</v>
      </c>
      <c r="J2" s="1" t="s">
        <v>17</v>
      </c>
      <c r="K2" s="1" t="s">
        <v>18</v>
      </c>
      <c r="L2" s="1">
        <v>0.0</v>
      </c>
    </row>
    <row r="3">
      <c r="A3" s="1" t="s">
        <v>19</v>
      </c>
      <c r="B3" s="1" t="s">
        <v>20</v>
      </c>
      <c r="C3" s="2">
        <v>45071.0</v>
      </c>
      <c r="D3" s="1">
        <v>7.5846701E7</v>
      </c>
      <c r="E3" s="1" t="s">
        <v>14</v>
      </c>
      <c r="F3" s="1" t="s">
        <v>15</v>
      </c>
      <c r="G3" s="1">
        <v>31.0</v>
      </c>
      <c r="H3" s="1">
        <v>0.0</v>
      </c>
      <c r="I3" s="1" t="s">
        <v>21</v>
      </c>
      <c r="J3" s="1" t="s">
        <v>22</v>
      </c>
      <c r="K3" s="1" t="s">
        <v>18</v>
      </c>
      <c r="L3" s="1">
        <v>0.0</v>
      </c>
    </row>
    <row r="4">
      <c r="A4" s="1" t="s">
        <v>23</v>
      </c>
      <c r="B4" s="1" t="s">
        <v>24</v>
      </c>
      <c r="C4" s="2">
        <v>45112.0</v>
      </c>
      <c r="D4" s="1">
        <v>9035539.0</v>
      </c>
      <c r="E4" s="1" t="s">
        <v>25</v>
      </c>
      <c r="F4" s="1" t="s">
        <v>26</v>
      </c>
      <c r="G4" s="1">
        <v>22.0</v>
      </c>
      <c r="H4" s="1">
        <v>0.0</v>
      </c>
      <c r="I4" s="1" t="s">
        <v>27</v>
      </c>
      <c r="J4" s="1" t="s">
        <v>17</v>
      </c>
      <c r="K4" s="1" t="s">
        <v>18</v>
      </c>
      <c r="L4" s="1">
        <v>0.0</v>
      </c>
    </row>
    <row r="5">
      <c r="A5" s="1" t="s">
        <v>28</v>
      </c>
      <c r="B5" s="1" t="s">
        <v>29</v>
      </c>
      <c r="C5" s="2">
        <v>45060.0</v>
      </c>
      <c r="D5" s="1">
        <v>2.7708408E7</v>
      </c>
      <c r="E5" s="1" t="s">
        <v>25</v>
      </c>
      <c r="F5" s="1" t="s">
        <v>26</v>
      </c>
      <c r="G5" s="1">
        <v>48.0</v>
      </c>
      <c r="H5" s="1">
        <v>1.0</v>
      </c>
      <c r="I5" s="1" t="s">
        <v>27</v>
      </c>
      <c r="J5" s="1" t="s">
        <v>17</v>
      </c>
      <c r="K5" s="1" t="s">
        <v>30</v>
      </c>
      <c r="L5" s="1">
        <v>0.0</v>
      </c>
    </row>
    <row r="6">
      <c r="A6" s="1" t="s">
        <v>31</v>
      </c>
      <c r="B6" s="1" t="s">
        <v>32</v>
      </c>
      <c r="C6" s="2">
        <v>45023.0</v>
      </c>
      <c r="D6" s="1">
        <v>4821687.0</v>
      </c>
      <c r="E6" s="1" t="s">
        <v>14</v>
      </c>
      <c r="F6" s="1" t="s">
        <v>33</v>
      </c>
      <c r="G6" s="1">
        <v>130.0</v>
      </c>
      <c r="H6" s="1">
        <v>1.0</v>
      </c>
      <c r="I6" s="1" t="s">
        <v>34</v>
      </c>
      <c r="J6" s="1" t="s">
        <v>35</v>
      </c>
      <c r="K6" s="1" t="s">
        <v>30</v>
      </c>
      <c r="L6" s="1">
        <v>0.0</v>
      </c>
    </row>
    <row r="7">
      <c r="A7" s="1" t="s">
        <v>36</v>
      </c>
      <c r="B7" s="1" t="s">
        <v>37</v>
      </c>
      <c r="C7" s="2">
        <v>45205.0</v>
      </c>
      <c r="D7" s="1">
        <v>6.563341E7</v>
      </c>
      <c r="E7" s="1" t="s">
        <v>25</v>
      </c>
      <c r="F7" s="1" t="s">
        <v>38</v>
      </c>
      <c r="G7" s="1">
        <v>97.0</v>
      </c>
      <c r="H7" s="1">
        <v>0.0</v>
      </c>
      <c r="I7" s="1" t="s">
        <v>34</v>
      </c>
      <c r="J7" s="1" t="s">
        <v>39</v>
      </c>
      <c r="K7" s="1" t="s">
        <v>18</v>
      </c>
      <c r="L7" s="1">
        <v>0.0</v>
      </c>
    </row>
    <row r="8">
      <c r="A8" s="1" t="s">
        <v>40</v>
      </c>
      <c r="B8" s="1" t="s">
        <v>41</v>
      </c>
      <c r="C8" s="2">
        <v>45058.0</v>
      </c>
      <c r="D8" s="1">
        <v>4.6222923E7</v>
      </c>
      <c r="E8" s="1" t="s">
        <v>25</v>
      </c>
      <c r="F8" s="1" t="s">
        <v>42</v>
      </c>
      <c r="G8" s="1">
        <v>77.0</v>
      </c>
      <c r="H8" s="1">
        <v>0.0</v>
      </c>
      <c r="I8" s="1" t="s">
        <v>34</v>
      </c>
      <c r="J8" s="1" t="s">
        <v>43</v>
      </c>
      <c r="K8" s="1" t="s">
        <v>44</v>
      </c>
      <c r="L8" s="1">
        <v>0.0</v>
      </c>
    </row>
    <row r="9">
      <c r="A9" s="1" t="s">
        <v>45</v>
      </c>
      <c r="B9" s="1" t="s">
        <v>46</v>
      </c>
      <c r="C9" s="2">
        <v>45245.0</v>
      </c>
      <c r="D9" s="1">
        <v>4.4564216E7</v>
      </c>
      <c r="E9" s="1" t="s">
        <v>47</v>
      </c>
      <c r="F9" s="1" t="s">
        <v>38</v>
      </c>
      <c r="G9" s="1">
        <v>32.0</v>
      </c>
      <c r="H9" s="1">
        <v>1.0</v>
      </c>
      <c r="I9" s="1" t="s">
        <v>27</v>
      </c>
      <c r="J9" s="1" t="s">
        <v>17</v>
      </c>
      <c r="K9" s="1" t="s">
        <v>30</v>
      </c>
      <c r="L9" s="1">
        <v>0.0</v>
      </c>
    </row>
    <row r="10">
      <c r="A10" s="1" t="s">
        <v>48</v>
      </c>
      <c r="B10" s="1" t="s">
        <v>49</v>
      </c>
      <c r="C10" s="2">
        <v>45275.0</v>
      </c>
      <c r="D10" s="1">
        <v>5.7327785E7</v>
      </c>
      <c r="E10" s="1" t="s">
        <v>47</v>
      </c>
      <c r="F10" s="1" t="s">
        <v>15</v>
      </c>
      <c r="G10" s="1">
        <v>11.0</v>
      </c>
      <c r="H10" s="1">
        <v>1.0</v>
      </c>
      <c r="I10" s="1" t="s">
        <v>16</v>
      </c>
      <c r="J10" s="1" t="s">
        <v>39</v>
      </c>
      <c r="K10" s="1" t="s">
        <v>30</v>
      </c>
      <c r="L10" s="1">
        <v>0.0</v>
      </c>
    </row>
    <row r="11">
      <c r="A11" s="1" t="s">
        <v>50</v>
      </c>
      <c r="B11" s="1" t="s">
        <v>51</v>
      </c>
      <c r="C11" s="2">
        <v>45096.0</v>
      </c>
      <c r="D11" s="1">
        <v>3.4105597E7</v>
      </c>
      <c r="E11" s="1" t="s">
        <v>25</v>
      </c>
      <c r="F11" s="1" t="s">
        <v>26</v>
      </c>
      <c r="G11" s="1">
        <v>140.0</v>
      </c>
      <c r="H11" s="1">
        <v>0.0</v>
      </c>
      <c r="I11" s="1" t="s">
        <v>27</v>
      </c>
      <c r="J11" s="1" t="s">
        <v>39</v>
      </c>
      <c r="K11" s="1" t="s">
        <v>44</v>
      </c>
      <c r="L11" s="1">
        <v>0.0</v>
      </c>
    </row>
    <row r="12">
      <c r="A12" s="1" t="s">
        <v>52</v>
      </c>
      <c r="B12" s="1" t="s">
        <v>53</v>
      </c>
      <c r="C12" s="2">
        <v>45257.0</v>
      </c>
      <c r="D12" s="1">
        <v>3.0275874E7</v>
      </c>
      <c r="E12" s="1" t="s">
        <v>47</v>
      </c>
      <c r="F12" s="1" t="s">
        <v>15</v>
      </c>
      <c r="G12" s="1">
        <v>124.0</v>
      </c>
      <c r="H12" s="1">
        <v>0.0</v>
      </c>
      <c r="I12" s="1" t="s">
        <v>21</v>
      </c>
      <c r="J12" s="1" t="s">
        <v>43</v>
      </c>
      <c r="K12" s="1" t="s">
        <v>18</v>
      </c>
      <c r="L12" s="1">
        <v>0.0</v>
      </c>
    </row>
    <row r="13">
      <c r="A13" s="1" t="s">
        <v>54</v>
      </c>
      <c r="B13" s="1" t="s">
        <v>55</v>
      </c>
      <c r="C13" s="2">
        <v>45029.0</v>
      </c>
      <c r="D13" s="1">
        <v>3.5141945E7</v>
      </c>
      <c r="E13" s="1" t="s">
        <v>47</v>
      </c>
      <c r="F13" s="1" t="s">
        <v>38</v>
      </c>
      <c r="G13" s="1">
        <v>31.0</v>
      </c>
      <c r="H13" s="1">
        <v>1.0</v>
      </c>
      <c r="I13" s="1" t="s">
        <v>21</v>
      </c>
      <c r="J13" s="1" t="s">
        <v>17</v>
      </c>
      <c r="K13" s="1" t="s">
        <v>30</v>
      </c>
      <c r="L13" s="1">
        <v>1.0</v>
      </c>
    </row>
    <row r="14">
      <c r="A14" s="1" t="s">
        <v>56</v>
      </c>
      <c r="B14" s="1" t="s">
        <v>57</v>
      </c>
      <c r="C14" s="2">
        <v>45019.0</v>
      </c>
      <c r="D14" s="1">
        <v>1.2899074E7</v>
      </c>
      <c r="E14" s="1" t="s">
        <v>47</v>
      </c>
      <c r="F14" s="1" t="s">
        <v>38</v>
      </c>
      <c r="G14" s="1">
        <v>128.0</v>
      </c>
      <c r="H14" s="1">
        <v>1.0</v>
      </c>
      <c r="I14" s="1" t="s">
        <v>34</v>
      </c>
      <c r="J14" s="1" t="s">
        <v>17</v>
      </c>
      <c r="K14" s="1" t="s">
        <v>44</v>
      </c>
      <c r="L14" s="1">
        <v>0.0</v>
      </c>
    </row>
    <row r="15">
      <c r="A15" s="1" t="s">
        <v>58</v>
      </c>
      <c r="B15" s="1" t="s">
        <v>59</v>
      </c>
      <c r="C15" s="2">
        <v>45022.0</v>
      </c>
      <c r="D15" s="1">
        <v>2.7732939E7</v>
      </c>
      <c r="E15" s="1" t="s">
        <v>14</v>
      </c>
      <c r="F15" s="1" t="s">
        <v>42</v>
      </c>
      <c r="G15" s="1">
        <v>42.0</v>
      </c>
      <c r="H15" s="1">
        <v>1.0</v>
      </c>
      <c r="I15" s="1" t="s">
        <v>21</v>
      </c>
      <c r="J15" s="1" t="s">
        <v>22</v>
      </c>
      <c r="K15" s="1" t="s">
        <v>18</v>
      </c>
      <c r="L15" s="1">
        <v>0.0</v>
      </c>
    </row>
    <row r="16">
      <c r="A16" s="1" t="s">
        <v>60</v>
      </c>
      <c r="B16" s="1" t="s">
        <v>61</v>
      </c>
      <c r="C16" s="2">
        <v>45035.0</v>
      </c>
      <c r="D16" s="1">
        <v>9.2609235E7</v>
      </c>
      <c r="E16" s="1" t="s">
        <v>14</v>
      </c>
      <c r="F16" s="1" t="s">
        <v>42</v>
      </c>
      <c r="G16" s="1">
        <v>98.0</v>
      </c>
      <c r="H16" s="1">
        <v>1.0</v>
      </c>
      <c r="I16" s="1" t="s">
        <v>34</v>
      </c>
      <c r="J16" s="1" t="s">
        <v>17</v>
      </c>
      <c r="K16" s="1" t="s">
        <v>30</v>
      </c>
      <c r="L16" s="1">
        <v>0.0</v>
      </c>
    </row>
    <row r="17">
      <c r="A17" s="1" t="s">
        <v>62</v>
      </c>
      <c r="B17" s="1" t="s">
        <v>63</v>
      </c>
      <c r="C17" s="2">
        <v>45018.0</v>
      </c>
      <c r="D17" s="1">
        <v>7.6597183E7</v>
      </c>
      <c r="E17" s="1" t="s">
        <v>14</v>
      </c>
      <c r="F17" s="1" t="s">
        <v>15</v>
      </c>
      <c r="G17" s="1">
        <v>25.0</v>
      </c>
      <c r="H17" s="1">
        <v>1.0</v>
      </c>
      <c r="I17" s="1" t="s">
        <v>21</v>
      </c>
      <c r="J17" s="1" t="s">
        <v>17</v>
      </c>
      <c r="K17" s="1" t="s">
        <v>44</v>
      </c>
      <c r="L17" s="1">
        <v>0.0</v>
      </c>
    </row>
    <row r="18">
      <c r="A18" s="1" t="s">
        <v>64</v>
      </c>
      <c r="B18" s="1" t="s">
        <v>65</v>
      </c>
      <c r="C18" s="2">
        <v>45232.0</v>
      </c>
      <c r="D18" s="1">
        <v>9.851371E7</v>
      </c>
      <c r="E18" s="1" t="s">
        <v>25</v>
      </c>
      <c r="F18" s="1" t="s">
        <v>15</v>
      </c>
      <c r="G18" s="1">
        <v>124.0</v>
      </c>
      <c r="H18" s="1">
        <v>1.0</v>
      </c>
      <c r="I18" s="1" t="s">
        <v>21</v>
      </c>
      <c r="J18" s="1" t="s">
        <v>43</v>
      </c>
      <c r="K18" s="1" t="s">
        <v>44</v>
      </c>
      <c r="L18" s="1">
        <v>0.0</v>
      </c>
    </row>
    <row r="19">
      <c r="A19" s="1" t="s">
        <v>66</v>
      </c>
      <c r="B19" s="1" t="s">
        <v>67</v>
      </c>
      <c r="C19" s="2">
        <v>44998.0</v>
      </c>
      <c r="D19" s="1">
        <v>7027314.0</v>
      </c>
      <c r="E19" s="1" t="s">
        <v>14</v>
      </c>
      <c r="F19" s="1" t="s">
        <v>42</v>
      </c>
      <c r="G19" s="1">
        <v>156.0</v>
      </c>
      <c r="H19" s="1">
        <v>1.0</v>
      </c>
      <c r="I19" s="1" t="s">
        <v>21</v>
      </c>
      <c r="J19" s="1" t="s">
        <v>39</v>
      </c>
      <c r="K19" s="1" t="s">
        <v>30</v>
      </c>
      <c r="L19" s="1">
        <v>0.0</v>
      </c>
    </row>
    <row r="20">
      <c r="A20" s="1" t="s">
        <v>68</v>
      </c>
      <c r="B20" s="1" t="s">
        <v>69</v>
      </c>
      <c r="C20" s="2">
        <v>45285.0</v>
      </c>
      <c r="D20" s="1">
        <v>2.6998022E7</v>
      </c>
      <c r="E20" s="1" t="s">
        <v>47</v>
      </c>
      <c r="F20" s="1" t="s">
        <v>26</v>
      </c>
      <c r="G20" s="1">
        <v>142.0</v>
      </c>
      <c r="H20" s="1">
        <v>1.0</v>
      </c>
      <c r="I20" s="1" t="s">
        <v>16</v>
      </c>
      <c r="J20" s="1" t="s">
        <v>17</v>
      </c>
      <c r="K20" s="1" t="s">
        <v>44</v>
      </c>
      <c r="L20" s="1">
        <v>0.0</v>
      </c>
    </row>
    <row r="21">
      <c r="A21" s="1" t="s">
        <v>70</v>
      </c>
      <c r="B21" s="1" t="s">
        <v>71</v>
      </c>
      <c r="C21" s="2">
        <v>44985.0</v>
      </c>
      <c r="D21" s="1">
        <v>6.5599501E7</v>
      </c>
      <c r="E21" s="1" t="s">
        <v>14</v>
      </c>
      <c r="F21" s="1" t="s">
        <v>33</v>
      </c>
      <c r="G21" s="1">
        <v>133.0</v>
      </c>
      <c r="H21" s="1">
        <v>1.0</v>
      </c>
      <c r="I21" s="1" t="s">
        <v>27</v>
      </c>
      <c r="J21" s="1" t="s">
        <v>17</v>
      </c>
      <c r="K21" s="1" t="s">
        <v>18</v>
      </c>
      <c r="L21" s="1">
        <v>0.0</v>
      </c>
    </row>
    <row r="22">
      <c r="A22" s="1" t="s">
        <v>72</v>
      </c>
      <c r="B22" s="1" t="s">
        <v>73</v>
      </c>
      <c r="C22" s="2">
        <v>44932.0</v>
      </c>
      <c r="D22" s="1">
        <v>3.4242445E7</v>
      </c>
      <c r="E22" s="1" t="s">
        <v>25</v>
      </c>
      <c r="F22" s="1" t="s">
        <v>42</v>
      </c>
      <c r="G22" s="1">
        <v>107.0</v>
      </c>
      <c r="H22" s="1">
        <v>0.0</v>
      </c>
      <c r="I22" s="1" t="s">
        <v>27</v>
      </c>
      <c r="J22" s="1" t="s">
        <v>22</v>
      </c>
      <c r="K22" s="1" t="s">
        <v>18</v>
      </c>
      <c r="L22" s="1">
        <v>0.0</v>
      </c>
    </row>
    <row r="23">
      <c r="A23" s="1" t="s">
        <v>74</v>
      </c>
      <c r="B23" s="1" t="s">
        <v>75</v>
      </c>
      <c r="C23" s="2">
        <v>45000.0</v>
      </c>
      <c r="D23" s="1">
        <v>7.8005693E7</v>
      </c>
      <c r="E23" s="1" t="s">
        <v>47</v>
      </c>
      <c r="F23" s="1" t="s">
        <v>15</v>
      </c>
      <c r="G23" s="1">
        <v>152.0</v>
      </c>
      <c r="H23" s="1">
        <v>1.0</v>
      </c>
      <c r="I23" s="1" t="s">
        <v>34</v>
      </c>
      <c r="J23" s="1" t="s">
        <v>43</v>
      </c>
      <c r="K23" s="1" t="s">
        <v>44</v>
      </c>
      <c r="L23" s="1">
        <v>0.0</v>
      </c>
    </row>
    <row r="24">
      <c r="A24" s="1" t="s">
        <v>76</v>
      </c>
      <c r="B24" s="1" t="s">
        <v>77</v>
      </c>
      <c r="C24" s="2">
        <v>45271.0</v>
      </c>
      <c r="D24" s="1">
        <v>9353589.0</v>
      </c>
      <c r="E24" s="1" t="s">
        <v>25</v>
      </c>
      <c r="F24" s="1" t="s">
        <v>42</v>
      </c>
      <c r="G24" s="1">
        <v>55.0</v>
      </c>
      <c r="H24" s="1">
        <v>1.0</v>
      </c>
      <c r="I24" s="1" t="s">
        <v>21</v>
      </c>
      <c r="J24" s="1" t="s">
        <v>22</v>
      </c>
      <c r="K24" s="1" t="s">
        <v>18</v>
      </c>
      <c r="L24" s="1">
        <v>0.0</v>
      </c>
    </row>
    <row r="25">
      <c r="A25" s="1" t="s">
        <v>78</v>
      </c>
      <c r="B25" s="1" t="s">
        <v>79</v>
      </c>
      <c r="C25" s="2">
        <v>45067.0</v>
      </c>
      <c r="D25" s="1">
        <v>8.419125E7</v>
      </c>
      <c r="E25" s="1" t="s">
        <v>14</v>
      </c>
      <c r="F25" s="1" t="s">
        <v>26</v>
      </c>
      <c r="G25" s="1">
        <v>43.0</v>
      </c>
      <c r="H25" s="1">
        <v>1.0</v>
      </c>
      <c r="I25" s="1" t="s">
        <v>16</v>
      </c>
      <c r="J25" s="1" t="s">
        <v>39</v>
      </c>
      <c r="K25" s="1" t="s">
        <v>18</v>
      </c>
      <c r="L25" s="1">
        <v>0.0</v>
      </c>
    </row>
    <row r="26">
      <c r="A26" s="1" t="s">
        <v>80</v>
      </c>
      <c r="B26" s="1" t="s">
        <v>81</v>
      </c>
      <c r="C26" s="2">
        <v>45159.0</v>
      </c>
      <c r="D26" s="1">
        <v>8.2592042E7</v>
      </c>
      <c r="E26" s="1" t="s">
        <v>14</v>
      </c>
      <c r="F26" s="1" t="s">
        <v>42</v>
      </c>
      <c r="G26" s="1">
        <v>163.0</v>
      </c>
      <c r="H26" s="1">
        <v>1.0</v>
      </c>
      <c r="I26" s="1" t="s">
        <v>21</v>
      </c>
      <c r="J26" s="1" t="s">
        <v>39</v>
      </c>
      <c r="K26" s="1" t="s">
        <v>30</v>
      </c>
      <c r="L26" s="1">
        <v>0.0</v>
      </c>
    </row>
    <row r="27">
      <c r="A27" s="1" t="s">
        <v>82</v>
      </c>
      <c r="B27" s="1" t="s">
        <v>83</v>
      </c>
      <c r="C27" s="2">
        <v>45152.0</v>
      </c>
      <c r="D27" s="1">
        <v>9.552151E7</v>
      </c>
      <c r="E27" s="1" t="s">
        <v>47</v>
      </c>
      <c r="F27" s="1" t="s">
        <v>38</v>
      </c>
      <c r="G27" s="1">
        <v>42.0</v>
      </c>
      <c r="H27" s="1">
        <v>1.0</v>
      </c>
      <c r="I27" s="1" t="s">
        <v>34</v>
      </c>
      <c r="J27" s="1" t="s">
        <v>17</v>
      </c>
      <c r="K27" s="1" t="s">
        <v>44</v>
      </c>
      <c r="L27" s="1">
        <v>0.0</v>
      </c>
    </row>
    <row r="28">
      <c r="A28" s="1" t="s">
        <v>84</v>
      </c>
      <c r="B28" s="1" t="s">
        <v>85</v>
      </c>
      <c r="C28" s="2">
        <v>45242.0</v>
      </c>
      <c r="D28" s="1">
        <v>4.0187051E7</v>
      </c>
      <c r="E28" s="1" t="s">
        <v>14</v>
      </c>
      <c r="F28" s="1" t="s">
        <v>42</v>
      </c>
      <c r="G28" s="1">
        <v>131.0</v>
      </c>
      <c r="H28" s="1">
        <v>1.0</v>
      </c>
      <c r="I28" s="1" t="s">
        <v>27</v>
      </c>
      <c r="J28" s="1" t="s">
        <v>39</v>
      </c>
      <c r="K28" s="1" t="s">
        <v>30</v>
      </c>
      <c r="L28" s="1">
        <v>0.0</v>
      </c>
    </row>
    <row r="29">
      <c r="A29" s="1" t="s">
        <v>86</v>
      </c>
      <c r="B29" s="1" t="s">
        <v>87</v>
      </c>
      <c r="C29" s="2">
        <v>45133.0</v>
      </c>
      <c r="D29" s="1">
        <v>9.9146597E7</v>
      </c>
      <c r="E29" s="1" t="s">
        <v>14</v>
      </c>
      <c r="F29" s="1" t="s">
        <v>33</v>
      </c>
      <c r="G29" s="1">
        <v>138.0</v>
      </c>
      <c r="H29" s="1">
        <v>1.0</v>
      </c>
      <c r="I29" s="1" t="s">
        <v>27</v>
      </c>
      <c r="J29" s="1" t="s">
        <v>43</v>
      </c>
      <c r="K29" s="1" t="s">
        <v>18</v>
      </c>
      <c r="L29" s="1">
        <v>0.0</v>
      </c>
    </row>
    <row r="30">
      <c r="A30" s="1" t="s">
        <v>88</v>
      </c>
      <c r="B30" s="1" t="s">
        <v>89</v>
      </c>
      <c r="C30" s="2">
        <v>44942.0</v>
      </c>
      <c r="D30" s="1">
        <v>9.21244E7</v>
      </c>
      <c r="E30" s="1" t="s">
        <v>25</v>
      </c>
      <c r="F30" s="1" t="s">
        <v>38</v>
      </c>
      <c r="G30" s="1">
        <v>64.0</v>
      </c>
      <c r="H30" s="1">
        <v>0.0</v>
      </c>
      <c r="I30" s="1" t="s">
        <v>27</v>
      </c>
      <c r="J30" s="1" t="s">
        <v>43</v>
      </c>
      <c r="K30" s="1" t="s">
        <v>30</v>
      </c>
      <c r="L30" s="1">
        <v>0.0</v>
      </c>
    </row>
    <row r="31">
      <c r="A31" s="1" t="s">
        <v>90</v>
      </c>
      <c r="B31" s="1" t="s">
        <v>91</v>
      </c>
      <c r="C31" s="2">
        <v>44931.0</v>
      </c>
      <c r="D31" s="1">
        <v>5.5785822E7</v>
      </c>
      <c r="E31" s="1" t="s">
        <v>47</v>
      </c>
      <c r="F31" s="1" t="s">
        <v>26</v>
      </c>
      <c r="G31" s="1">
        <v>36.0</v>
      </c>
      <c r="H31" s="1">
        <v>1.0</v>
      </c>
      <c r="I31" s="1" t="s">
        <v>16</v>
      </c>
      <c r="J31" s="1" t="s">
        <v>35</v>
      </c>
      <c r="K31" s="1" t="s">
        <v>18</v>
      </c>
      <c r="L31" s="1">
        <v>0.0</v>
      </c>
    </row>
    <row r="32">
      <c r="A32" s="1" t="s">
        <v>92</v>
      </c>
      <c r="B32" s="1" t="s">
        <v>93</v>
      </c>
      <c r="C32" s="2">
        <v>45107.0</v>
      </c>
      <c r="D32" s="1">
        <v>3.735901E7</v>
      </c>
      <c r="E32" s="1" t="s">
        <v>14</v>
      </c>
      <c r="F32" s="1" t="s">
        <v>15</v>
      </c>
      <c r="G32" s="1">
        <v>94.0</v>
      </c>
      <c r="H32" s="1">
        <v>1.0</v>
      </c>
      <c r="I32" s="1" t="s">
        <v>16</v>
      </c>
      <c r="J32" s="1" t="s">
        <v>17</v>
      </c>
      <c r="K32" s="1" t="s">
        <v>30</v>
      </c>
      <c r="L32" s="1">
        <v>0.0</v>
      </c>
    </row>
    <row r="33">
      <c r="A33" s="1" t="s">
        <v>94</v>
      </c>
      <c r="B33" s="1" t="s">
        <v>95</v>
      </c>
      <c r="C33" s="2">
        <v>44993.0</v>
      </c>
      <c r="D33" s="1">
        <v>1.1683711E7</v>
      </c>
      <c r="E33" s="1" t="s">
        <v>14</v>
      </c>
      <c r="F33" s="1" t="s">
        <v>33</v>
      </c>
      <c r="G33" s="1">
        <v>150.0</v>
      </c>
      <c r="H33" s="1">
        <v>1.0</v>
      </c>
      <c r="I33" s="1" t="s">
        <v>34</v>
      </c>
      <c r="J33" s="1" t="s">
        <v>39</v>
      </c>
      <c r="K33" s="1" t="s">
        <v>18</v>
      </c>
      <c r="L33" s="1">
        <v>0.0</v>
      </c>
    </row>
    <row r="34">
      <c r="A34" s="1" t="s">
        <v>96</v>
      </c>
      <c r="B34" s="1" t="s">
        <v>97</v>
      </c>
      <c r="C34" s="2">
        <v>45254.0</v>
      </c>
      <c r="D34" s="1">
        <v>6.7309627E7</v>
      </c>
      <c r="E34" s="1" t="s">
        <v>47</v>
      </c>
      <c r="F34" s="1" t="s">
        <v>26</v>
      </c>
      <c r="G34" s="1">
        <v>36.0</v>
      </c>
      <c r="H34" s="1">
        <v>1.0</v>
      </c>
      <c r="I34" s="1" t="s">
        <v>27</v>
      </c>
      <c r="J34" s="1" t="s">
        <v>22</v>
      </c>
      <c r="K34" s="1" t="s">
        <v>30</v>
      </c>
      <c r="L34" s="1">
        <v>0.0</v>
      </c>
    </row>
    <row r="35">
      <c r="A35" s="1" t="s">
        <v>98</v>
      </c>
      <c r="B35" s="1" t="s">
        <v>99</v>
      </c>
      <c r="C35" s="2">
        <v>45255.0</v>
      </c>
      <c r="D35" s="1">
        <v>8.9553404E7</v>
      </c>
      <c r="E35" s="1" t="s">
        <v>47</v>
      </c>
      <c r="F35" s="1" t="s">
        <v>38</v>
      </c>
      <c r="G35" s="1">
        <v>164.0</v>
      </c>
      <c r="H35" s="1">
        <v>1.0</v>
      </c>
      <c r="I35" s="1" t="s">
        <v>34</v>
      </c>
      <c r="J35" s="1" t="s">
        <v>17</v>
      </c>
      <c r="K35" s="1" t="s">
        <v>44</v>
      </c>
      <c r="L35" s="1">
        <v>0.0</v>
      </c>
    </row>
    <row r="36">
      <c r="A36" s="1" t="s">
        <v>100</v>
      </c>
      <c r="B36" s="1" t="s">
        <v>101</v>
      </c>
      <c r="C36" s="2">
        <v>45188.0</v>
      </c>
      <c r="D36" s="1">
        <v>9.1570246E7</v>
      </c>
      <c r="E36" s="1" t="s">
        <v>47</v>
      </c>
      <c r="F36" s="1" t="s">
        <v>15</v>
      </c>
      <c r="G36" s="1">
        <v>89.0</v>
      </c>
      <c r="H36" s="1">
        <v>1.0</v>
      </c>
      <c r="I36" s="1" t="s">
        <v>34</v>
      </c>
      <c r="J36" s="1" t="s">
        <v>17</v>
      </c>
      <c r="K36" s="1" t="s">
        <v>18</v>
      </c>
      <c r="L36" s="1">
        <v>0.0</v>
      </c>
    </row>
    <row r="37">
      <c r="A37" s="1" t="s">
        <v>102</v>
      </c>
      <c r="B37" s="1" t="s">
        <v>103</v>
      </c>
      <c r="C37" s="2">
        <v>44966.0</v>
      </c>
      <c r="D37" s="1">
        <v>1.6729469E7</v>
      </c>
      <c r="E37" s="1" t="s">
        <v>47</v>
      </c>
      <c r="F37" s="1" t="s">
        <v>42</v>
      </c>
      <c r="G37" s="1">
        <v>95.0</v>
      </c>
      <c r="H37" s="1">
        <v>0.0</v>
      </c>
      <c r="I37" s="1" t="s">
        <v>21</v>
      </c>
      <c r="J37" s="1" t="s">
        <v>39</v>
      </c>
      <c r="K37" s="1" t="s">
        <v>44</v>
      </c>
      <c r="L37" s="1">
        <v>0.0</v>
      </c>
    </row>
    <row r="38">
      <c r="A38" s="1" t="s">
        <v>104</v>
      </c>
      <c r="B38" s="1" t="s">
        <v>105</v>
      </c>
      <c r="C38" s="2">
        <v>45262.0</v>
      </c>
      <c r="D38" s="1">
        <v>2.8024262E7</v>
      </c>
      <c r="E38" s="1" t="s">
        <v>47</v>
      </c>
      <c r="F38" s="1" t="s">
        <v>15</v>
      </c>
      <c r="G38" s="1">
        <v>44.0</v>
      </c>
      <c r="H38" s="1">
        <v>1.0</v>
      </c>
      <c r="I38" s="1" t="s">
        <v>34</v>
      </c>
      <c r="J38" s="1" t="s">
        <v>17</v>
      </c>
      <c r="K38" s="1" t="s">
        <v>44</v>
      </c>
      <c r="L38" s="1">
        <v>0.0</v>
      </c>
    </row>
    <row r="39">
      <c r="A39" s="1" t="s">
        <v>106</v>
      </c>
      <c r="B39" s="1" t="s">
        <v>107</v>
      </c>
      <c r="C39" s="2">
        <v>45262.0</v>
      </c>
      <c r="D39" s="1">
        <v>3791097.0</v>
      </c>
      <c r="E39" s="1" t="s">
        <v>14</v>
      </c>
      <c r="F39" s="1" t="s">
        <v>15</v>
      </c>
      <c r="G39" s="1">
        <v>79.0</v>
      </c>
      <c r="H39" s="1">
        <v>1.0</v>
      </c>
      <c r="I39" s="1" t="s">
        <v>21</v>
      </c>
      <c r="J39" s="1" t="s">
        <v>22</v>
      </c>
      <c r="K39" s="1" t="s">
        <v>30</v>
      </c>
      <c r="L39" s="1">
        <v>0.0</v>
      </c>
    </row>
    <row r="40">
      <c r="A40" s="1" t="s">
        <v>108</v>
      </c>
      <c r="B40" s="1" t="s">
        <v>109</v>
      </c>
      <c r="C40" s="2">
        <v>45224.0</v>
      </c>
      <c r="D40" s="1">
        <v>3.929885E7</v>
      </c>
      <c r="E40" s="1" t="s">
        <v>25</v>
      </c>
      <c r="F40" s="1" t="s">
        <v>26</v>
      </c>
      <c r="G40" s="1">
        <v>43.0</v>
      </c>
      <c r="H40" s="1">
        <v>1.0</v>
      </c>
      <c r="I40" s="1" t="s">
        <v>16</v>
      </c>
      <c r="J40" s="1" t="s">
        <v>35</v>
      </c>
      <c r="K40" s="1" t="s">
        <v>44</v>
      </c>
      <c r="L40" s="1">
        <v>0.0</v>
      </c>
    </row>
    <row r="41">
      <c r="A41" s="1" t="s">
        <v>110</v>
      </c>
      <c r="B41" s="1" t="s">
        <v>111</v>
      </c>
      <c r="C41" s="2">
        <v>45077.0</v>
      </c>
      <c r="D41" s="1">
        <v>2.307897E7</v>
      </c>
      <c r="E41" s="1" t="s">
        <v>47</v>
      </c>
      <c r="F41" s="1" t="s">
        <v>42</v>
      </c>
      <c r="G41" s="1">
        <v>73.0</v>
      </c>
      <c r="H41" s="1">
        <v>0.0</v>
      </c>
      <c r="I41" s="1" t="s">
        <v>27</v>
      </c>
      <c r="J41" s="1" t="s">
        <v>43</v>
      </c>
      <c r="K41" s="1" t="s">
        <v>44</v>
      </c>
      <c r="L41" s="1">
        <v>0.0</v>
      </c>
    </row>
    <row r="42">
      <c r="A42" s="1" t="s">
        <v>112</v>
      </c>
      <c r="B42" s="1" t="s">
        <v>113</v>
      </c>
      <c r="C42" s="2">
        <v>45144.0</v>
      </c>
      <c r="D42" s="1">
        <v>8.5957169E7</v>
      </c>
      <c r="E42" s="1" t="s">
        <v>14</v>
      </c>
      <c r="F42" s="1" t="s">
        <v>26</v>
      </c>
      <c r="G42" s="1">
        <v>128.0</v>
      </c>
      <c r="H42" s="1">
        <v>1.0</v>
      </c>
      <c r="I42" s="1" t="s">
        <v>16</v>
      </c>
      <c r="J42" s="1" t="s">
        <v>35</v>
      </c>
      <c r="K42" s="1" t="s">
        <v>44</v>
      </c>
      <c r="L42" s="1">
        <v>0.0</v>
      </c>
    </row>
    <row r="43">
      <c r="A43" s="1" t="s">
        <v>114</v>
      </c>
      <c r="B43" s="1" t="s">
        <v>115</v>
      </c>
      <c r="C43" s="2">
        <v>45245.0</v>
      </c>
      <c r="D43" s="1">
        <v>7.7976925E7</v>
      </c>
      <c r="E43" s="1" t="s">
        <v>14</v>
      </c>
      <c r="F43" s="1" t="s">
        <v>38</v>
      </c>
      <c r="G43" s="1">
        <v>44.0</v>
      </c>
      <c r="H43" s="1">
        <v>1.0</v>
      </c>
      <c r="I43" s="1" t="s">
        <v>34</v>
      </c>
      <c r="J43" s="1" t="s">
        <v>43</v>
      </c>
      <c r="K43" s="1" t="s">
        <v>30</v>
      </c>
      <c r="L43" s="1">
        <v>0.0</v>
      </c>
    </row>
    <row r="44">
      <c r="A44" s="1" t="s">
        <v>116</v>
      </c>
      <c r="B44" s="1" t="s">
        <v>117</v>
      </c>
      <c r="C44" s="2">
        <v>45212.0</v>
      </c>
      <c r="D44" s="1">
        <v>6.6064046E7</v>
      </c>
      <c r="E44" s="1" t="s">
        <v>14</v>
      </c>
      <c r="F44" s="1" t="s">
        <v>38</v>
      </c>
      <c r="G44" s="1">
        <v>132.0</v>
      </c>
      <c r="H44" s="1">
        <v>1.0</v>
      </c>
      <c r="I44" s="1" t="s">
        <v>16</v>
      </c>
      <c r="J44" s="1" t="s">
        <v>22</v>
      </c>
      <c r="K44" s="1" t="s">
        <v>18</v>
      </c>
      <c r="L44" s="1">
        <v>0.0</v>
      </c>
    </row>
    <row r="45">
      <c r="A45" s="1" t="s">
        <v>118</v>
      </c>
      <c r="B45" s="1" t="s">
        <v>119</v>
      </c>
      <c r="C45" s="2">
        <v>45192.0</v>
      </c>
      <c r="D45" s="1">
        <v>3.0944596E7</v>
      </c>
      <c r="E45" s="1" t="s">
        <v>25</v>
      </c>
      <c r="F45" s="1" t="s">
        <v>26</v>
      </c>
      <c r="G45" s="1">
        <v>18.0</v>
      </c>
      <c r="H45" s="1">
        <v>1.0</v>
      </c>
      <c r="I45" s="1" t="s">
        <v>21</v>
      </c>
      <c r="J45" s="1" t="s">
        <v>22</v>
      </c>
      <c r="K45" s="1" t="s">
        <v>44</v>
      </c>
      <c r="L45" s="1">
        <v>0.0</v>
      </c>
    </row>
    <row r="46">
      <c r="A46" s="1" t="s">
        <v>120</v>
      </c>
      <c r="B46" s="1" t="s">
        <v>121</v>
      </c>
      <c r="C46" s="2">
        <v>45026.0</v>
      </c>
      <c r="D46" s="1">
        <v>5.3324993E7</v>
      </c>
      <c r="E46" s="1" t="s">
        <v>14</v>
      </c>
      <c r="F46" s="1" t="s">
        <v>15</v>
      </c>
      <c r="G46" s="1">
        <v>168.0</v>
      </c>
      <c r="H46" s="1">
        <v>1.0</v>
      </c>
      <c r="I46" s="1" t="s">
        <v>27</v>
      </c>
      <c r="J46" s="1" t="s">
        <v>17</v>
      </c>
      <c r="K46" s="1" t="s">
        <v>44</v>
      </c>
      <c r="L46" s="1">
        <v>0.0</v>
      </c>
    </row>
    <row r="47">
      <c r="A47" s="1" t="s">
        <v>122</v>
      </c>
      <c r="B47" s="1" t="s">
        <v>123</v>
      </c>
      <c r="C47" s="2">
        <v>44953.0</v>
      </c>
      <c r="D47" s="1">
        <v>6.1162747E7</v>
      </c>
      <c r="E47" s="1" t="s">
        <v>14</v>
      </c>
      <c r="F47" s="1" t="s">
        <v>38</v>
      </c>
      <c r="G47" s="1">
        <v>128.0</v>
      </c>
      <c r="H47" s="1">
        <v>1.0</v>
      </c>
      <c r="I47" s="1" t="s">
        <v>27</v>
      </c>
      <c r="J47" s="1" t="s">
        <v>17</v>
      </c>
      <c r="K47" s="1" t="s">
        <v>44</v>
      </c>
      <c r="L47" s="1">
        <v>0.0</v>
      </c>
    </row>
    <row r="48">
      <c r="A48" s="1" t="s">
        <v>124</v>
      </c>
      <c r="B48" s="1" t="s">
        <v>125</v>
      </c>
      <c r="C48" s="2">
        <v>45286.0</v>
      </c>
      <c r="D48" s="1">
        <v>8507006.0</v>
      </c>
      <c r="E48" s="1" t="s">
        <v>47</v>
      </c>
      <c r="F48" s="1" t="s">
        <v>38</v>
      </c>
      <c r="G48" s="1">
        <v>144.0</v>
      </c>
      <c r="H48" s="1">
        <v>1.0</v>
      </c>
      <c r="I48" s="1" t="s">
        <v>16</v>
      </c>
      <c r="J48" s="1" t="s">
        <v>39</v>
      </c>
      <c r="K48" s="1" t="s">
        <v>44</v>
      </c>
      <c r="L48" s="1">
        <v>0.0</v>
      </c>
    </row>
    <row r="49">
      <c r="A49" s="1" t="s">
        <v>126</v>
      </c>
      <c r="B49" s="1" t="s">
        <v>127</v>
      </c>
      <c r="C49" s="2">
        <v>45182.0</v>
      </c>
      <c r="D49" s="1">
        <v>5.5042413E7</v>
      </c>
      <c r="E49" s="1" t="s">
        <v>47</v>
      </c>
      <c r="F49" s="1" t="s">
        <v>33</v>
      </c>
      <c r="G49" s="1">
        <v>108.0</v>
      </c>
      <c r="H49" s="1">
        <v>0.0</v>
      </c>
      <c r="I49" s="1" t="s">
        <v>27</v>
      </c>
      <c r="J49" s="1" t="s">
        <v>43</v>
      </c>
      <c r="K49" s="1" t="s">
        <v>44</v>
      </c>
      <c r="L49" s="1">
        <v>0.0</v>
      </c>
    </row>
    <row r="50">
      <c r="A50" s="1" t="s">
        <v>128</v>
      </c>
      <c r="B50" s="1" t="s">
        <v>129</v>
      </c>
      <c r="C50" s="2">
        <v>45137.0</v>
      </c>
      <c r="D50" s="1">
        <v>4.4567255E7</v>
      </c>
      <c r="E50" s="1" t="s">
        <v>47</v>
      </c>
      <c r="F50" s="1" t="s">
        <v>15</v>
      </c>
      <c r="G50" s="1">
        <v>80.0</v>
      </c>
      <c r="H50" s="1">
        <v>1.0</v>
      </c>
      <c r="I50" s="1" t="s">
        <v>21</v>
      </c>
      <c r="J50" s="1" t="s">
        <v>35</v>
      </c>
      <c r="K50" s="1" t="s">
        <v>44</v>
      </c>
      <c r="L50" s="1">
        <v>0.0</v>
      </c>
    </row>
    <row r="51">
      <c r="A51" s="1" t="s">
        <v>130</v>
      </c>
      <c r="B51" s="1" t="s">
        <v>131</v>
      </c>
      <c r="C51" s="2">
        <v>44999.0</v>
      </c>
      <c r="D51" s="1">
        <v>3.2984033E7</v>
      </c>
      <c r="E51" s="1" t="s">
        <v>14</v>
      </c>
      <c r="F51" s="1" t="s">
        <v>26</v>
      </c>
      <c r="G51" s="1">
        <v>59.0</v>
      </c>
      <c r="H51" s="1">
        <v>0.0</v>
      </c>
      <c r="I51" s="1" t="s">
        <v>34</v>
      </c>
      <c r="J51" s="1" t="s">
        <v>35</v>
      </c>
      <c r="K51" s="1" t="s">
        <v>44</v>
      </c>
      <c r="L51" s="1">
        <v>0.0</v>
      </c>
    </row>
    <row r="52">
      <c r="A52" s="1" t="s">
        <v>132</v>
      </c>
      <c r="B52" s="1" t="s">
        <v>133</v>
      </c>
      <c r="C52" s="2">
        <v>45182.0</v>
      </c>
      <c r="D52" s="1">
        <v>4.6405371E7</v>
      </c>
      <c r="E52" s="1" t="s">
        <v>25</v>
      </c>
      <c r="F52" s="1" t="s">
        <v>38</v>
      </c>
      <c r="G52" s="1">
        <v>169.0</v>
      </c>
      <c r="H52" s="1">
        <v>0.0</v>
      </c>
      <c r="I52" s="1" t="s">
        <v>34</v>
      </c>
      <c r="J52" s="1" t="s">
        <v>17</v>
      </c>
      <c r="K52" s="1" t="s">
        <v>44</v>
      </c>
      <c r="L52" s="1">
        <v>0.0</v>
      </c>
    </row>
    <row r="53">
      <c r="A53" s="1" t="s">
        <v>134</v>
      </c>
      <c r="B53" s="1" t="s">
        <v>135</v>
      </c>
      <c r="C53" s="2">
        <v>45056.0</v>
      </c>
      <c r="D53" s="1">
        <v>1.7185936E7</v>
      </c>
      <c r="E53" s="1" t="s">
        <v>25</v>
      </c>
      <c r="F53" s="1" t="s">
        <v>38</v>
      </c>
      <c r="G53" s="1">
        <v>87.0</v>
      </c>
      <c r="H53" s="1">
        <v>1.0</v>
      </c>
      <c r="I53" s="1" t="s">
        <v>34</v>
      </c>
      <c r="J53" s="1" t="s">
        <v>17</v>
      </c>
      <c r="K53" s="1" t="s">
        <v>18</v>
      </c>
      <c r="L53" s="1">
        <v>0.0</v>
      </c>
    </row>
    <row r="54">
      <c r="A54" s="1" t="s">
        <v>136</v>
      </c>
      <c r="B54" s="1" t="s">
        <v>137</v>
      </c>
      <c r="C54" s="2">
        <v>45282.0</v>
      </c>
      <c r="D54" s="1">
        <v>2.1504907E7</v>
      </c>
      <c r="E54" s="1" t="s">
        <v>25</v>
      </c>
      <c r="F54" s="1" t="s">
        <v>42</v>
      </c>
      <c r="G54" s="1">
        <v>167.0</v>
      </c>
      <c r="H54" s="1">
        <v>0.0</v>
      </c>
      <c r="I54" s="1" t="s">
        <v>27</v>
      </c>
      <c r="J54" s="1" t="s">
        <v>17</v>
      </c>
      <c r="K54" s="1" t="s">
        <v>30</v>
      </c>
      <c r="L54" s="1">
        <v>0.0</v>
      </c>
    </row>
    <row r="55">
      <c r="A55" s="1" t="s">
        <v>138</v>
      </c>
      <c r="B55" s="1" t="s">
        <v>139</v>
      </c>
      <c r="C55" s="2">
        <v>45041.0</v>
      </c>
      <c r="D55" s="1">
        <v>1.0331217E7</v>
      </c>
      <c r="E55" s="1" t="s">
        <v>25</v>
      </c>
      <c r="F55" s="1" t="s">
        <v>42</v>
      </c>
      <c r="G55" s="1">
        <v>85.0</v>
      </c>
      <c r="H55" s="1">
        <v>1.0</v>
      </c>
      <c r="I55" s="1" t="s">
        <v>16</v>
      </c>
      <c r="J55" s="1" t="s">
        <v>22</v>
      </c>
      <c r="K55" s="1" t="s">
        <v>30</v>
      </c>
      <c r="L55" s="1">
        <v>0.0</v>
      </c>
    </row>
    <row r="56">
      <c r="A56" s="1" t="s">
        <v>140</v>
      </c>
      <c r="B56" s="1" t="s">
        <v>141</v>
      </c>
      <c r="C56" s="2">
        <v>45168.0</v>
      </c>
      <c r="D56" s="1">
        <v>9.0997082E7</v>
      </c>
      <c r="E56" s="1" t="s">
        <v>25</v>
      </c>
      <c r="F56" s="1" t="s">
        <v>26</v>
      </c>
      <c r="G56" s="1">
        <v>33.0</v>
      </c>
      <c r="H56" s="1">
        <v>1.0</v>
      </c>
      <c r="I56" s="1" t="s">
        <v>21</v>
      </c>
      <c r="J56" s="1" t="s">
        <v>43</v>
      </c>
      <c r="K56" s="1" t="s">
        <v>18</v>
      </c>
      <c r="L56" s="1">
        <v>0.0</v>
      </c>
    </row>
    <row r="57">
      <c r="A57" s="1" t="s">
        <v>142</v>
      </c>
      <c r="B57" s="1" t="s">
        <v>143</v>
      </c>
      <c r="C57" s="2">
        <v>45101.0</v>
      </c>
      <c r="D57" s="1">
        <v>1.6771635E7</v>
      </c>
      <c r="E57" s="1" t="s">
        <v>47</v>
      </c>
      <c r="F57" s="1" t="s">
        <v>26</v>
      </c>
      <c r="G57" s="1">
        <v>142.0</v>
      </c>
      <c r="H57" s="1">
        <v>1.0</v>
      </c>
      <c r="I57" s="1" t="s">
        <v>27</v>
      </c>
      <c r="J57" s="1" t="s">
        <v>22</v>
      </c>
      <c r="K57" s="1" t="s">
        <v>30</v>
      </c>
      <c r="L57" s="1">
        <v>0.0</v>
      </c>
    </row>
    <row r="58">
      <c r="A58" s="1" t="s">
        <v>144</v>
      </c>
      <c r="B58" s="1" t="s">
        <v>145</v>
      </c>
      <c r="C58" s="2">
        <v>45238.0</v>
      </c>
      <c r="D58" s="1">
        <v>7.0875478E7</v>
      </c>
      <c r="E58" s="1" t="s">
        <v>14</v>
      </c>
      <c r="F58" s="1" t="s">
        <v>15</v>
      </c>
      <c r="G58" s="1">
        <v>106.0</v>
      </c>
      <c r="H58" s="1">
        <v>1.0</v>
      </c>
      <c r="I58" s="1" t="s">
        <v>21</v>
      </c>
      <c r="J58" s="1" t="s">
        <v>17</v>
      </c>
      <c r="K58" s="1" t="s">
        <v>44</v>
      </c>
      <c r="L58" s="1">
        <v>0.0</v>
      </c>
    </row>
    <row r="59">
      <c r="A59" s="1" t="s">
        <v>146</v>
      </c>
      <c r="B59" s="1" t="s">
        <v>147</v>
      </c>
      <c r="C59" s="2">
        <v>44937.0</v>
      </c>
      <c r="D59" s="1">
        <v>8.0959779E7</v>
      </c>
      <c r="E59" s="1" t="s">
        <v>47</v>
      </c>
      <c r="F59" s="1" t="s">
        <v>15</v>
      </c>
      <c r="G59" s="1">
        <v>13.0</v>
      </c>
      <c r="H59" s="1">
        <v>1.0</v>
      </c>
      <c r="I59" s="1" t="s">
        <v>21</v>
      </c>
      <c r="J59" s="1" t="s">
        <v>17</v>
      </c>
      <c r="K59" s="1" t="s">
        <v>44</v>
      </c>
      <c r="L59" s="1">
        <v>0.0</v>
      </c>
    </row>
    <row r="60">
      <c r="A60" s="1" t="s">
        <v>148</v>
      </c>
      <c r="B60" s="1" t="s">
        <v>149</v>
      </c>
      <c r="C60" s="2">
        <v>45129.0</v>
      </c>
      <c r="D60" s="1">
        <v>3.9314406E7</v>
      </c>
      <c r="E60" s="1" t="s">
        <v>47</v>
      </c>
      <c r="F60" s="1" t="s">
        <v>42</v>
      </c>
      <c r="G60" s="1">
        <v>150.0</v>
      </c>
      <c r="H60" s="1">
        <v>0.0</v>
      </c>
      <c r="I60" s="1" t="s">
        <v>34</v>
      </c>
      <c r="J60" s="1" t="s">
        <v>39</v>
      </c>
      <c r="K60" s="1" t="s">
        <v>44</v>
      </c>
      <c r="L60" s="1">
        <v>0.0</v>
      </c>
    </row>
    <row r="61">
      <c r="A61" s="1" t="s">
        <v>150</v>
      </c>
      <c r="B61" s="1" t="s">
        <v>151</v>
      </c>
      <c r="C61" s="2">
        <v>45207.0</v>
      </c>
      <c r="D61" s="1">
        <v>5.157822E7</v>
      </c>
      <c r="E61" s="1" t="s">
        <v>14</v>
      </c>
      <c r="F61" s="1" t="s">
        <v>15</v>
      </c>
      <c r="G61" s="1">
        <v>158.0</v>
      </c>
      <c r="H61" s="1">
        <v>0.0</v>
      </c>
      <c r="I61" s="1" t="s">
        <v>34</v>
      </c>
      <c r="J61" s="1" t="s">
        <v>39</v>
      </c>
      <c r="K61" s="1" t="s">
        <v>44</v>
      </c>
      <c r="L61" s="1">
        <v>0.0</v>
      </c>
    </row>
    <row r="62">
      <c r="A62" s="1" t="s">
        <v>152</v>
      </c>
      <c r="B62" s="1" t="s">
        <v>153</v>
      </c>
      <c r="C62" s="2">
        <v>45278.0</v>
      </c>
      <c r="D62" s="1">
        <v>3.8062452E7</v>
      </c>
      <c r="E62" s="1" t="s">
        <v>14</v>
      </c>
      <c r="F62" s="1" t="s">
        <v>38</v>
      </c>
      <c r="G62" s="1">
        <v>99.0</v>
      </c>
      <c r="H62" s="1">
        <v>1.0</v>
      </c>
      <c r="I62" s="1" t="s">
        <v>34</v>
      </c>
      <c r="J62" s="1" t="s">
        <v>17</v>
      </c>
      <c r="K62" s="1" t="s">
        <v>44</v>
      </c>
      <c r="L62" s="1">
        <v>0.0</v>
      </c>
    </row>
    <row r="63">
      <c r="A63" s="1" t="s">
        <v>154</v>
      </c>
      <c r="B63" s="1" t="s">
        <v>155</v>
      </c>
      <c r="C63" s="2">
        <v>44970.0</v>
      </c>
      <c r="D63" s="1">
        <v>8.3388132E7</v>
      </c>
      <c r="E63" s="1" t="s">
        <v>14</v>
      </c>
      <c r="F63" s="1" t="s">
        <v>33</v>
      </c>
      <c r="G63" s="1">
        <v>128.0</v>
      </c>
      <c r="H63" s="1">
        <v>1.0</v>
      </c>
      <c r="I63" s="1" t="s">
        <v>34</v>
      </c>
      <c r="J63" s="1" t="s">
        <v>43</v>
      </c>
      <c r="K63" s="1" t="s">
        <v>44</v>
      </c>
      <c r="L63" s="1">
        <v>0.0</v>
      </c>
    </row>
    <row r="64">
      <c r="A64" s="1" t="s">
        <v>156</v>
      </c>
      <c r="B64" s="1" t="s">
        <v>157</v>
      </c>
      <c r="C64" s="2">
        <v>45068.0</v>
      </c>
      <c r="D64" s="1">
        <v>9.3922227E7</v>
      </c>
      <c r="E64" s="1" t="s">
        <v>14</v>
      </c>
      <c r="F64" s="1" t="s">
        <v>33</v>
      </c>
      <c r="G64" s="1">
        <v>106.0</v>
      </c>
      <c r="H64" s="1">
        <v>0.0</v>
      </c>
      <c r="I64" s="1" t="s">
        <v>34</v>
      </c>
      <c r="J64" s="1" t="s">
        <v>35</v>
      </c>
      <c r="K64" s="1" t="s">
        <v>30</v>
      </c>
      <c r="L64" s="1">
        <v>0.0</v>
      </c>
    </row>
    <row r="65">
      <c r="A65" s="1" t="s">
        <v>158</v>
      </c>
      <c r="B65" s="1" t="s">
        <v>159</v>
      </c>
      <c r="C65" s="2">
        <v>44982.0</v>
      </c>
      <c r="D65" s="1">
        <v>8.3686849E7</v>
      </c>
      <c r="E65" s="1" t="s">
        <v>14</v>
      </c>
      <c r="F65" s="1" t="s">
        <v>42</v>
      </c>
      <c r="G65" s="1">
        <v>128.0</v>
      </c>
      <c r="H65" s="1">
        <v>1.0</v>
      </c>
      <c r="I65" s="1" t="s">
        <v>21</v>
      </c>
      <c r="J65" s="1" t="s">
        <v>35</v>
      </c>
      <c r="K65" s="1" t="s">
        <v>30</v>
      </c>
      <c r="L65" s="1">
        <v>0.0</v>
      </c>
    </row>
    <row r="66">
      <c r="A66" s="1" t="s">
        <v>160</v>
      </c>
      <c r="B66" s="1" t="s">
        <v>161</v>
      </c>
      <c r="C66" s="2">
        <v>44932.0</v>
      </c>
      <c r="D66" s="1">
        <v>3.0725164E7</v>
      </c>
      <c r="E66" s="1" t="s">
        <v>47</v>
      </c>
      <c r="F66" s="1" t="s">
        <v>38</v>
      </c>
      <c r="G66" s="1">
        <v>64.0</v>
      </c>
      <c r="H66" s="1">
        <v>0.0</v>
      </c>
      <c r="I66" s="1" t="s">
        <v>34</v>
      </c>
      <c r="J66" s="1" t="s">
        <v>35</v>
      </c>
      <c r="K66" s="1" t="s">
        <v>30</v>
      </c>
      <c r="L66" s="1">
        <v>0.0</v>
      </c>
    </row>
    <row r="67">
      <c r="A67" s="1" t="s">
        <v>162</v>
      </c>
      <c r="B67" s="1" t="s">
        <v>163</v>
      </c>
      <c r="C67" s="2">
        <v>44969.0</v>
      </c>
      <c r="D67" s="1">
        <v>1.891995E7</v>
      </c>
      <c r="E67" s="1" t="s">
        <v>25</v>
      </c>
      <c r="F67" s="1" t="s">
        <v>15</v>
      </c>
      <c r="G67" s="1">
        <v>23.0</v>
      </c>
      <c r="H67" s="1">
        <v>0.0</v>
      </c>
      <c r="I67" s="1" t="s">
        <v>21</v>
      </c>
      <c r="J67" s="1" t="s">
        <v>17</v>
      </c>
      <c r="K67" s="1" t="s">
        <v>18</v>
      </c>
      <c r="L67" s="1">
        <v>0.0</v>
      </c>
    </row>
    <row r="68">
      <c r="A68" s="1" t="s">
        <v>164</v>
      </c>
      <c r="B68" s="1" t="s">
        <v>165</v>
      </c>
      <c r="C68" s="2">
        <v>45030.0</v>
      </c>
      <c r="D68" s="1">
        <v>3.8310041E7</v>
      </c>
      <c r="E68" s="1" t="s">
        <v>25</v>
      </c>
      <c r="F68" s="1" t="s">
        <v>15</v>
      </c>
      <c r="G68" s="1">
        <v>17.0</v>
      </c>
      <c r="H68" s="1">
        <v>1.0</v>
      </c>
      <c r="I68" s="1" t="s">
        <v>27</v>
      </c>
      <c r="J68" s="1" t="s">
        <v>39</v>
      </c>
      <c r="K68" s="1" t="s">
        <v>30</v>
      </c>
      <c r="L68" s="1">
        <v>0.0</v>
      </c>
    </row>
    <row r="69">
      <c r="A69" s="1" t="s">
        <v>166</v>
      </c>
      <c r="B69" s="1" t="s">
        <v>167</v>
      </c>
      <c r="C69" s="2">
        <v>44976.0</v>
      </c>
      <c r="D69" s="1">
        <v>6.5100103E7</v>
      </c>
      <c r="E69" s="1" t="s">
        <v>47</v>
      </c>
      <c r="F69" s="1" t="s">
        <v>15</v>
      </c>
      <c r="G69" s="1">
        <v>134.0</v>
      </c>
      <c r="H69" s="1">
        <v>1.0</v>
      </c>
      <c r="I69" s="1" t="s">
        <v>21</v>
      </c>
      <c r="J69" s="1" t="s">
        <v>43</v>
      </c>
      <c r="K69" s="1" t="s">
        <v>18</v>
      </c>
      <c r="L69" s="1">
        <v>0.0</v>
      </c>
    </row>
    <row r="70">
      <c r="A70" s="1" t="s">
        <v>168</v>
      </c>
      <c r="B70" s="1" t="s">
        <v>169</v>
      </c>
      <c r="C70" s="2">
        <v>45284.0</v>
      </c>
      <c r="D70" s="1">
        <v>4.5895418E7</v>
      </c>
      <c r="E70" s="1" t="s">
        <v>25</v>
      </c>
      <c r="F70" s="1" t="s">
        <v>38</v>
      </c>
      <c r="G70" s="1">
        <v>32.0</v>
      </c>
      <c r="H70" s="1">
        <v>0.0</v>
      </c>
      <c r="I70" s="1" t="s">
        <v>21</v>
      </c>
      <c r="J70" s="1" t="s">
        <v>35</v>
      </c>
      <c r="K70" s="1" t="s">
        <v>30</v>
      </c>
      <c r="L70" s="1">
        <v>1.0</v>
      </c>
    </row>
    <row r="71">
      <c r="A71" s="1" t="s">
        <v>170</v>
      </c>
      <c r="B71" s="1" t="s">
        <v>171</v>
      </c>
      <c r="C71" s="2">
        <v>45285.0</v>
      </c>
      <c r="D71" s="1">
        <v>1.3449803E7</v>
      </c>
      <c r="E71" s="1" t="s">
        <v>25</v>
      </c>
      <c r="F71" s="1" t="s">
        <v>38</v>
      </c>
      <c r="G71" s="1">
        <v>15.0</v>
      </c>
      <c r="H71" s="1">
        <v>1.0</v>
      </c>
      <c r="I71" s="1" t="s">
        <v>21</v>
      </c>
      <c r="J71" s="1" t="s">
        <v>35</v>
      </c>
      <c r="K71" s="1" t="s">
        <v>18</v>
      </c>
      <c r="L71" s="1">
        <v>1.0</v>
      </c>
    </row>
    <row r="72">
      <c r="A72" s="1" t="s">
        <v>172</v>
      </c>
      <c r="B72" s="1" t="s">
        <v>173</v>
      </c>
      <c r="C72" s="2">
        <v>45002.0</v>
      </c>
      <c r="D72" s="1">
        <v>6.8214012E7</v>
      </c>
      <c r="E72" s="1" t="s">
        <v>25</v>
      </c>
      <c r="F72" s="1" t="s">
        <v>26</v>
      </c>
      <c r="G72" s="1">
        <v>21.0</v>
      </c>
      <c r="H72" s="1">
        <v>1.0</v>
      </c>
      <c r="I72" s="1" t="s">
        <v>27</v>
      </c>
      <c r="J72" s="1" t="s">
        <v>43</v>
      </c>
      <c r="K72" s="1" t="s">
        <v>18</v>
      </c>
      <c r="L72" s="1">
        <v>0.0</v>
      </c>
    </row>
    <row r="73">
      <c r="A73" s="1" t="s">
        <v>174</v>
      </c>
      <c r="B73" s="1" t="s">
        <v>175</v>
      </c>
      <c r="C73" s="2">
        <v>45079.0</v>
      </c>
      <c r="D73" s="1">
        <v>3.9207159E7</v>
      </c>
      <c r="E73" s="1" t="s">
        <v>47</v>
      </c>
      <c r="F73" s="1" t="s">
        <v>26</v>
      </c>
      <c r="G73" s="1">
        <v>32.0</v>
      </c>
      <c r="H73" s="1">
        <v>1.0</v>
      </c>
      <c r="I73" s="1" t="s">
        <v>34</v>
      </c>
      <c r="J73" s="1" t="s">
        <v>35</v>
      </c>
      <c r="K73" s="1" t="s">
        <v>44</v>
      </c>
      <c r="L73" s="1">
        <v>0.0</v>
      </c>
    </row>
    <row r="74">
      <c r="A74" s="1" t="s">
        <v>176</v>
      </c>
      <c r="B74" s="1" t="s">
        <v>177</v>
      </c>
      <c r="C74" s="2">
        <v>45264.0</v>
      </c>
      <c r="D74" s="1">
        <v>1.5506146E7</v>
      </c>
      <c r="E74" s="1" t="s">
        <v>25</v>
      </c>
      <c r="F74" s="1" t="s">
        <v>42</v>
      </c>
      <c r="G74" s="1">
        <v>129.0</v>
      </c>
      <c r="H74" s="1">
        <v>1.0</v>
      </c>
      <c r="I74" s="1" t="s">
        <v>27</v>
      </c>
      <c r="J74" s="1" t="s">
        <v>43</v>
      </c>
      <c r="K74" s="1" t="s">
        <v>44</v>
      </c>
      <c r="L74" s="1">
        <v>0.0</v>
      </c>
    </row>
    <row r="75">
      <c r="A75" s="1" t="s">
        <v>178</v>
      </c>
      <c r="B75" s="1" t="s">
        <v>179</v>
      </c>
      <c r="C75" s="2">
        <v>44948.0</v>
      </c>
      <c r="D75" s="1">
        <v>8.6461887E7</v>
      </c>
      <c r="E75" s="1" t="s">
        <v>14</v>
      </c>
      <c r="F75" s="1" t="s">
        <v>42</v>
      </c>
      <c r="G75" s="1">
        <v>11.0</v>
      </c>
      <c r="H75" s="1">
        <v>0.0</v>
      </c>
      <c r="I75" s="1" t="s">
        <v>34</v>
      </c>
      <c r="J75" s="1" t="s">
        <v>17</v>
      </c>
      <c r="K75" s="1" t="s">
        <v>30</v>
      </c>
      <c r="L75" s="1">
        <v>0.0</v>
      </c>
    </row>
    <row r="76">
      <c r="A76" s="1" t="s">
        <v>180</v>
      </c>
      <c r="B76" s="1" t="s">
        <v>181</v>
      </c>
      <c r="C76" s="2">
        <v>45073.0</v>
      </c>
      <c r="D76" s="1">
        <v>5.5556835E7</v>
      </c>
      <c r="E76" s="1" t="s">
        <v>47</v>
      </c>
      <c r="F76" s="1" t="s">
        <v>15</v>
      </c>
      <c r="G76" s="1">
        <v>5.0</v>
      </c>
      <c r="H76" s="1">
        <v>0.0</v>
      </c>
      <c r="I76" s="1" t="s">
        <v>34</v>
      </c>
      <c r="J76" s="1" t="s">
        <v>39</v>
      </c>
      <c r="K76" s="1" t="s">
        <v>18</v>
      </c>
      <c r="L76" s="1">
        <v>0.0</v>
      </c>
    </row>
    <row r="77">
      <c r="A77" s="1" t="s">
        <v>182</v>
      </c>
      <c r="B77" s="1" t="s">
        <v>183</v>
      </c>
      <c r="C77" s="2">
        <v>44990.0</v>
      </c>
      <c r="D77" s="1">
        <v>2.6777788E7</v>
      </c>
      <c r="E77" s="1" t="s">
        <v>14</v>
      </c>
      <c r="F77" s="1" t="s">
        <v>26</v>
      </c>
      <c r="G77" s="1">
        <v>12.0</v>
      </c>
      <c r="H77" s="1">
        <v>1.0</v>
      </c>
      <c r="I77" s="1" t="s">
        <v>34</v>
      </c>
      <c r="J77" s="1" t="s">
        <v>17</v>
      </c>
      <c r="K77" s="1" t="s">
        <v>44</v>
      </c>
      <c r="L77" s="1">
        <v>0.0</v>
      </c>
    </row>
    <row r="78">
      <c r="A78" s="1" t="s">
        <v>184</v>
      </c>
      <c r="B78" s="1" t="s">
        <v>185</v>
      </c>
      <c r="C78" s="2">
        <v>45272.0</v>
      </c>
      <c r="D78" s="1">
        <v>5.9022282E7</v>
      </c>
      <c r="E78" s="1" t="s">
        <v>25</v>
      </c>
      <c r="F78" s="1" t="s">
        <v>42</v>
      </c>
      <c r="G78" s="1">
        <v>158.0</v>
      </c>
      <c r="H78" s="1">
        <v>1.0</v>
      </c>
      <c r="I78" s="1" t="s">
        <v>34</v>
      </c>
      <c r="J78" s="1" t="s">
        <v>43</v>
      </c>
      <c r="K78" s="1" t="s">
        <v>30</v>
      </c>
      <c r="L78" s="1">
        <v>0.0</v>
      </c>
    </row>
    <row r="79">
      <c r="A79" s="1" t="s">
        <v>186</v>
      </c>
      <c r="B79" s="1" t="s">
        <v>187</v>
      </c>
      <c r="C79" s="2">
        <v>44956.0</v>
      </c>
      <c r="D79" s="1">
        <v>8759634.0</v>
      </c>
      <c r="E79" s="1" t="s">
        <v>14</v>
      </c>
      <c r="F79" s="1" t="s">
        <v>42</v>
      </c>
      <c r="G79" s="1">
        <v>72.0</v>
      </c>
      <c r="H79" s="1">
        <v>1.0</v>
      </c>
      <c r="I79" s="1" t="s">
        <v>34</v>
      </c>
      <c r="J79" s="1" t="s">
        <v>43</v>
      </c>
      <c r="K79" s="1" t="s">
        <v>18</v>
      </c>
      <c r="L79" s="1">
        <v>0.0</v>
      </c>
    </row>
    <row r="80">
      <c r="A80" s="1" t="s">
        <v>188</v>
      </c>
      <c r="B80" s="1" t="s">
        <v>189</v>
      </c>
      <c r="C80" s="2">
        <v>45220.0</v>
      </c>
      <c r="D80" s="1">
        <v>3.4542781E7</v>
      </c>
      <c r="E80" s="1" t="s">
        <v>25</v>
      </c>
      <c r="F80" s="1" t="s">
        <v>42</v>
      </c>
      <c r="G80" s="1">
        <v>64.0</v>
      </c>
      <c r="H80" s="1">
        <v>0.0</v>
      </c>
      <c r="I80" s="1" t="s">
        <v>34</v>
      </c>
      <c r="J80" s="1" t="s">
        <v>35</v>
      </c>
      <c r="K80" s="1" t="s">
        <v>18</v>
      </c>
      <c r="L80" s="1">
        <v>0.0</v>
      </c>
    </row>
    <row r="81">
      <c r="A81" s="1" t="s">
        <v>190</v>
      </c>
      <c r="B81" s="1" t="s">
        <v>191</v>
      </c>
      <c r="C81" s="2">
        <v>45095.0</v>
      </c>
      <c r="D81" s="1">
        <v>4.5214103E7</v>
      </c>
      <c r="E81" s="1" t="s">
        <v>14</v>
      </c>
      <c r="F81" s="1" t="s">
        <v>38</v>
      </c>
      <c r="G81" s="1">
        <v>121.0</v>
      </c>
      <c r="H81" s="1">
        <v>1.0</v>
      </c>
      <c r="I81" s="1" t="s">
        <v>21</v>
      </c>
      <c r="J81" s="1" t="s">
        <v>22</v>
      </c>
      <c r="K81" s="1" t="s">
        <v>18</v>
      </c>
      <c r="L81" s="1">
        <v>0.0</v>
      </c>
    </row>
    <row r="82">
      <c r="A82" s="1" t="s">
        <v>192</v>
      </c>
      <c r="B82" s="1" t="s">
        <v>193</v>
      </c>
      <c r="C82" s="2">
        <v>45289.0</v>
      </c>
      <c r="D82" s="1">
        <v>2.4982009E7</v>
      </c>
      <c r="E82" s="1" t="s">
        <v>25</v>
      </c>
      <c r="F82" s="1" t="s">
        <v>33</v>
      </c>
      <c r="G82" s="1">
        <v>169.0</v>
      </c>
      <c r="H82" s="1">
        <v>0.0</v>
      </c>
      <c r="I82" s="1" t="s">
        <v>16</v>
      </c>
      <c r="J82" s="1" t="s">
        <v>17</v>
      </c>
      <c r="K82" s="1" t="s">
        <v>30</v>
      </c>
      <c r="L82" s="1">
        <v>0.0</v>
      </c>
    </row>
    <row r="83">
      <c r="A83" s="1" t="s">
        <v>194</v>
      </c>
      <c r="B83" s="1" t="s">
        <v>195</v>
      </c>
      <c r="C83" s="2">
        <v>45150.0</v>
      </c>
      <c r="D83" s="1">
        <v>2.0107505E7</v>
      </c>
      <c r="E83" s="1" t="s">
        <v>14</v>
      </c>
      <c r="F83" s="1" t="s">
        <v>26</v>
      </c>
      <c r="G83" s="1">
        <v>177.0</v>
      </c>
      <c r="H83" s="1">
        <v>1.0</v>
      </c>
      <c r="I83" s="1" t="s">
        <v>16</v>
      </c>
      <c r="J83" s="1" t="s">
        <v>35</v>
      </c>
      <c r="K83" s="1" t="s">
        <v>30</v>
      </c>
      <c r="L83" s="1">
        <v>0.0</v>
      </c>
    </row>
    <row r="84">
      <c r="A84" s="1" t="s">
        <v>196</v>
      </c>
      <c r="B84" s="1" t="s">
        <v>197</v>
      </c>
      <c r="C84" s="2">
        <v>45030.0</v>
      </c>
      <c r="D84" s="1">
        <v>4460299.0</v>
      </c>
      <c r="E84" s="1" t="s">
        <v>25</v>
      </c>
      <c r="F84" s="1" t="s">
        <v>26</v>
      </c>
      <c r="G84" s="1">
        <v>118.0</v>
      </c>
      <c r="H84" s="1">
        <v>1.0</v>
      </c>
      <c r="I84" s="1" t="s">
        <v>21</v>
      </c>
      <c r="J84" s="1" t="s">
        <v>39</v>
      </c>
      <c r="K84" s="1" t="s">
        <v>30</v>
      </c>
      <c r="L84" s="1">
        <v>0.0</v>
      </c>
    </row>
    <row r="85">
      <c r="A85" s="1" t="s">
        <v>198</v>
      </c>
      <c r="B85" s="1" t="s">
        <v>199</v>
      </c>
      <c r="C85" s="2">
        <v>45194.0</v>
      </c>
      <c r="D85" s="1">
        <v>6.4194172E7</v>
      </c>
      <c r="E85" s="1" t="s">
        <v>47</v>
      </c>
      <c r="F85" s="1" t="s">
        <v>26</v>
      </c>
      <c r="G85" s="1">
        <v>116.0</v>
      </c>
      <c r="H85" s="1">
        <v>1.0</v>
      </c>
      <c r="I85" s="1" t="s">
        <v>34</v>
      </c>
      <c r="J85" s="1" t="s">
        <v>22</v>
      </c>
      <c r="K85" s="1" t="s">
        <v>30</v>
      </c>
      <c r="L85" s="1">
        <v>0.0</v>
      </c>
    </row>
    <row r="86">
      <c r="A86" s="1" t="s">
        <v>200</v>
      </c>
      <c r="B86" s="1" t="s">
        <v>201</v>
      </c>
      <c r="C86" s="2">
        <v>45239.0</v>
      </c>
      <c r="D86" s="1">
        <v>2.3747715E7</v>
      </c>
      <c r="E86" s="1" t="s">
        <v>47</v>
      </c>
      <c r="F86" s="1" t="s">
        <v>33</v>
      </c>
      <c r="G86" s="1">
        <v>171.0</v>
      </c>
      <c r="H86" s="1">
        <v>0.0</v>
      </c>
      <c r="I86" s="1" t="s">
        <v>27</v>
      </c>
      <c r="J86" s="1" t="s">
        <v>17</v>
      </c>
      <c r="K86" s="1" t="s">
        <v>30</v>
      </c>
      <c r="L86" s="1">
        <v>0.0</v>
      </c>
    </row>
    <row r="87">
      <c r="A87" s="1" t="s">
        <v>202</v>
      </c>
      <c r="B87" s="1" t="s">
        <v>203</v>
      </c>
      <c r="C87" s="2">
        <v>45069.0</v>
      </c>
      <c r="D87" s="1">
        <v>6.259635E7</v>
      </c>
      <c r="E87" s="1" t="s">
        <v>47</v>
      </c>
      <c r="F87" s="1" t="s">
        <v>42</v>
      </c>
      <c r="G87" s="1">
        <v>175.0</v>
      </c>
      <c r="H87" s="1">
        <v>1.0</v>
      </c>
      <c r="I87" s="1" t="s">
        <v>16</v>
      </c>
      <c r="J87" s="1" t="s">
        <v>17</v>
      </c>
      <c r="K87" s="1" t="s">
        <v>44</v>
      </c>
      <c r="L87" s="1">
        <v>0.0</v>
      </c>
    </row>
    <row r="88">
      <c r="A88" s="1" t="s">
        <v>204</v>
      </c>
      <c r="B88" s="1" t="s">
        <v>205</v>
      </c>
      <c r="C88" s="2">
        <v>45215.0</v>
      </c>
      <c r="D88" s="1">
        <v>5.0738403E7</v>
      </c>
      <c r="E88" s="1" t="s">
        <v>14</v>
      </c>
      <c r="F88" s="1" t="s">
        <v>15</v>
      </c>
      <c r="G88" s="1">
        <v>169.0</v>
      </c>
      <c r="H88" s="1">
        <v>1.0</v>
      </c>
      <c r="I88" s="1" t="s">
        <v>16</v>
      </c>
      <c r="J88" s="1" t="s">
        <v>43</v>
      </c>
      <c r="K88" s="1" t="s">
        <v>30</v>
      </c>
      <c r="L88" s="1">
        <v>1.0</v>
      </c>
    </row>
    <row r="89">
      <c r="A89" s="1" t="s">
        <v>206</v>
      </c>
      <c r="B89" s="1" t="s">
        <v>207</v>
      </c>
      <c r="C89" s="2">
        <v>45120.0</v>
      </c>
      <c r="D89" s="1">
        <v>1.0414866E7</v>
      </c>
      <c r="E89" s="1" t="s">
        <v>25</v>
      </c>
      <c r="F89" s="1" t="s">
        <v>33</v>
      </c>
      <c r="G89" s="1">
        <v>73.0</v>
      </c>
      <c r="H89" s="1">
        <v>0.0</v>
      </c>
      <c r="I89" s="1" t="s">
        <v>16</v>
      </c>
      <c r="J89" s="1" t="s">
        <v>39</v>
      </c>
      <c r="K89" s="1" t="s">
        <v>18</v>
      </c>
      <c r="L89" s="1">
        <v>1.0</v>
      </c>
    </row>
    <row r="90">
      <c r="A90" s="1" t="s">
        <v>208</v>
      </c>
      <c r="B90" s="1" t="s">
        <v>209</v>
      </c>
      <c r="C90" s="2">
        <v>45048.0</v>
      </c>
      <c r="D90" s="1">
        <v>6.1880092E7</v>
      </c>
      <c r="E90" s="1" t="s">
        <v>25</v>
      </c>
      <c r="F90" s="1" t="s">
        <v>15</v>
      </c>
      <c r="G90" s="1">
        <v>96.0</v>
      </c>
      <c r="H90" s="1">
        <v>1.0</v>
      </c>
      <c r="I90" s="1" t="s">
        <v>34</v>
      </c>
      <c r="J90" s="1" t="s">
        <v>43</v>
      </c>
      <c r="K90" s="1" t="s">
        <v>44</v>
      </c>
      <c r="L90" s="1">
        <v>0.0</v>
      </c>
    </row>
    <row r="91">
      <c r="A91" s="1" t="s">
        <v>210</v>
      </c>
      <c r="B91" s="1" t="s">
        <v>211</v>
      </c>
      <c r="C91" s="2">
        <v>45248.0</v>
      </c>
      <c r="D91" s="1">
        <v>7.0682939E7</v>
      </c>
      <c r="E91" s="1" t="s">
        <v>47</v>
      </c>
      <c r="F91" s="1" t="s">
        <v>26</v>
      </c>
      <c r="G91" s="1">
        <v>18.0</v>
      </c>
      <c r="H91" s="1">
        <v>1.0</v>
      </c>
      <c r="I91" s="1" t="s">
        <v>16</v>
      </c>
      <c r="J91" s="1" t="s">
        <v>17</v>
      </c>
      <c r="K91" s="1" t="s">
        <v>44</v>
      </c>
      <c r="L91" s="1">
        <v>0.0</v>
      </c>
    </row>
    <row r="92">
      <c r="A92" s="1" t="s">
        <v>212</v>
      </c>
      <c r="B92" s="1" t="s">
        <v>213</v>
      </c>
      <c r="C92" s="2">
        <v>44963.0</v>
      </c>
      <c r="D92" s="1">
        <v>1973655.0</v>
      </c>
      <c r="E92" s="1" t="s">
        <v>47</v>
      </c>
      <c r="F92" s="1" t="s">
        <v>42</v>
      </c>
      <c r="G92" s="1">
        <v>146.0</v>
      </c>
      <c r="H92" s="1">
        <v>1.0</v>
      </c>
      <c r="I92" s="1" t="s">
        <v>27</v>
      </c>
      <c r="J92" s="1" t="s">
        <v>35</v>
      </c>
      <c r="K92" s="1" t="s">
        <v>18</v>
      </c>
      <c r="L92" s="1">
        <v>0.0</v>
      </c>
    </row>
    <row r="93">
      <c r="A93" s="1" t="s">
        <v>214</v>
      </c>
      <c r="B93" s="1" t="s">
        <v>215</v>
      </c>
      <c r="C93" s="2">
        <v>45177.0</v>
      </c>
      <c r="D93" s="1">
        <v>4.4807252E7</v>
      </c>
      <c r="E93" s="1" t="s">
        <v>14</v>
      </c>
      <c r="F93" s="1" t="s">
        <v>42</v>
      </c>
      <c r="G93" s="1">
        <v>174.0</v>
      </c>
      <c r="H93" s="1">
        <v>0.0</v>
      </c>
      <c r="I93" s="1" t="s">
        <v>16</v>
      </c>
      <c r="J93" s="1" t="s">
        <v>43</v>
      </c>
      <c r="K93" s="1" t="s">
        <v>18</v>
      </c>
      <c r="L93" s="1">
        <v>0.0</v>
      </c>
    </row>
    <row r="94">
      <c r="A94" s="1" t="s">
        <v>216</v>
      </c>
      <c r="B94" s="1" t="s">
        <v>217</v>
      </c>
      <c r="C94" s="2">
        <v>44952.0</v>
      </c>
      <c r="D94" s="1">
        <v>1.3982515E7</v>
      </c>
      <c r="E94" s="1" t="s">
        <v>14</v>
      </c>
      <c r="F94" s="1" t="s">
        <v>15</v>
      </c>
      <c r="G94" s="1">
        <v>77.0</v>
      </c>
      <c r="H94" s="1">
        <v>1.0</v>
      </c>
      <c r="I94" s="1" t="s">
        <v>21</v>
      </c>
      <c r="J94" s="1" t="s">
        <v>43</v>
      </c>
      <c r="K94" s="1" t="s">
        <v>18</v>
      </c>
      <c r="L94" s="1">
        <v>0.0</v>
      </c>
    </row>
    <row r="95">
      <c r="A95" s="1" t="s">
        <v>218</v>
      </c>
      <c r="B95" s="1" t="s">
        <v>219</v>
      </c>
      <c r="C95" s="2">
        <v>44999.0</v>
      </c>
      <c r="D95" s="1">
        <v>7.7181541E7</v>
      </c>
      <c r="E95" s="1" t="s">
        <v>25</v>
      </c>
      <c r="F95" s="1" t="s">
        <v>42</v>
      </c>
      <c r="G95" s="1">
        <v>139.0</v>
      </c>
      <c r="H95" s="1">
        <v>1.0</v>
      </c>
      <c r="I95" s="1" t="s">
        <v>27</v>
      </c>
      <c r="J95" s="1" t="s">
        <v>22</v>
      </c>
      <c r="K95" s="1" t="s">
        <v>18</v>
      </c>
      <c r="L95" s="1">
        <v>0.0</v>
      </c>
    </row>
    <row r="96">
      <c r="A96" s="1" t="s">
        <v>220</v>
      </c>
      <c r="B96" s="1" t="s">
        <v>221</v>
      </c>
      <c r="C96" s="2">
        <v>44977.0</v>
      </c>
      <c r="D96" s="1">
        <v>1.2243891E7</v>
      </c>
      <c r="E96" s="1" t="s">
        <v>47</v>
      </c>
      <c r="F96" s="1" t="s">
        <v>38</v>
      </c>
      <c r="G96" s="1">
        <v>99.0</v>
      </c>
      <c r="H96" s="1">
        <v>1.0</v>
      </c>
      <c r="I96" s="1" t="s">
        <v>21</v>
      </c>
      <c r="J96" s="1" t="s">
        <v>35</v>
      </c>
      <c r="K96" s="1" t="s">
        <v>30</v>
      </c>
      <c r="L96" s="1">
        <v>1.0</v>
      </c>
    </row>
    <row r="97">
      <c r="A97" s="1" t="s">
        <v>222</v>
      </c>
      <c r="B97" s="1" t="s">
        <v>223</v>
      </c>
      <c r="C97" s="2">
        <v>44939.0</v>
      </c>
      <c r="D97" s="1">
        <v>6815226.0</v>
      </c>
      <c r="E97" s="1" t="s">
        <v>47</v>
      </c>
      <c r="F97" s="1" t="s">
        <v>42</v>
      </c>
      <c r="G97" s="1">
        <v>145.0</v>
      </c>
      <c r="H97" s="1">
        <v>1.0</v>
      </c>
      <c r="I97" s="1" t="s">
        <v>27</v>
      </c>
      <c r="J97" s="1" t="s">
        <v>35</v>
      </c>
      <c r="K97" s="1" t="s">
        <v>18</v>
      </c>
      <c r="L97" s="1">
        <v>0.0</v>
      </c>
    </row>
    <row r="98">
      <c r="A98" s="1" t="s">
        <v>224</v>
      </c>
      <c r="B98" s="1" t="s">
        <v>225</v>
      </c>
      <c r="C98" s="2">
        <v>45074.0</v>
      </c>
      <c r="D98" s="1">
        <v>5.9856504E7</v>
      </c>
      <c r="E98" s="1" t="s">
        <v>25</v>
      </c>
      <c r="F98" s="1" t="s">
        <v>26</v>
      </c>
      <c r="G98" s="1">
        <v>103.0</v>
      </c>
      <c r="H98" s="1">
        <v>0.0</v>
      </c>
      <c r="I98" s="1" t="s">
        <v>34</v>
      </c>
      <c r="J98" s="1" t="s">
        <v>39</v>
      </c>
      <c r="K98" s="1" t="s">
        <v>30</v>
      </c>
      <c r="L98" s="1">
        <v>0.0</v>
      </c>
    </row>
    <row r="99">
      <c r="A99" s="1" t="s">
        <v>226</v>
      </c>
      <c r="B99" s="1" t="s">
        <v>227</v>
      </c>
      <c r="C99" s="2">
        <v>45122.0</v>
      </c>
      <c r="D99" s="1">
        <v>2.7304228E7</v>
      </c>
      <c r="E99" s="1" t="s">
        <v>14</v>
      </c>
      <c r="F99" s="1" t="s">
        <v>33</v>
      </c>
      <c r="G99" s="1">
        <v>136.0</v>
      </c>
      <c r="H99" s="1">
        <v>1.0</v>
      </c>
      <c r="I99" s="1" t="s">
        <v>34</v>
      </c>
      <c r="J99" s="1" t="s">
        <v>17</v>
      </c>
      <c r="K99" s="1" t="s">
        <v>30</v>
      </c>
      <c r="L99" s="1">
        <v>0.0</v>
      </c>
    </row>
    <row r="100">
      <c r="A100" s="1" t="s">
        <v>228</v>
      </c>
      <c r="B100" s="1" t="s">
        <v>229</v>
      </c>
      <c r="C100" s="2">
        <v>44934.0</v>
      </c>
      <c r="D100" s="1">
        <v>2.0338114E7</v>
      </c>
      <c r="E100" s="1" t="s">
        <v>25</v>
      </c>
      <c r="F100" s="1" t="s">
        <v>15</v>
      </c>
      <c r="G100" s="1">
        <v>21.0</v>
      </c>
      <c r="H100" s="1">
        <v>1.0</v>
      </c>
      <c r="I100" s="1" t="s">
        <v>27</v>
      </c>
      <c r="J100" s="1" t="s">
        <v>35</v>
      </c>
      <c r="K100" s="1" t="s">
        <v>30</v>
      </c>
      <c r="L100" s="1">
        <v>0.0</v>
      </c>
    </row>
    <row r="101">
      <c r="A101" s="1" t="s">
        <v>230</v>
      </c>
      <c r="B101" s="1" t="s">
        <v>231</v>
      </c>
      <c r="C101" s="2">
        <v>45019.0</v>
      </c>
      <c r="D101" s="1">
        <v>7.7819192E7</v>
      </c>
      <c r="E101" s="1" t="s">
        <v>47</v>
      </c>
      <c r="F101" s="1" t="s">
        <v>33</v>
      </c>
      <c r="G101" s="1">
        <v>10.0</v>
      </c>
      <c r="H101" s="1">
        <v>0.0</v>
      </c>
      <c r="I101" s="1" t="s">
        <v>34</v>
      </c>
      <c r="J101" s="1" t="s">
        <v>35</v>
      </c>
      <c r="K101" s="1" t="s">
        <v>44</v>
      </c>
      <c r="L101" s="1">
        <v>0.0</v>
      </c>
    </row>
    <row r="102">
      <c r="A102" s="1" t="s">
        <v>232</v>
      </c>
      <c r="B102" s="1" t="s">
        <v>233</v>
      </c>
      <c r="C102" s="2">
        <v>44941.0</v>
      </c>
      <c r="D102" s="1">
        <v>6.6922391E7</v>
      </c>
      <c r="E102" s="1" t="s">
        <v>14</v>
      </c>
      <c r="F102" s="1" t="s">
        <v>26</v>
      </c>
      <c r="G102" s="1">
        <v>45.0</v>
      </c>
      <c r="H102" s="1">
        <v>1.0</v>
      </c>
      <c r="I102" s="1" t="s">
        <v>21</v>
      </c>
      <c r="J102" s="1" t="s">
        <v>43</v>
      </c>
      <c r="K102" s="1" t="s">
        <v>44</v>
      </c>
      <c r="L102" s="1">
        <v>0.0</v>
      </c>
    </row>
    <row r="103">
      <c r="A103" s="1" t="s">
        <v>234</v>
      </c>
      <c r="B103" s="1" t="s">
        <v>235</v>
      </c>
      <c r="C103" s="2">
        <v>44973.0</v>
      </c>
      <c r="D103" s="1">
        <v>6.8309978E7</v>
      </c>
      <c r="E103" s="1" t="s">
        <v>47</v>
      </c>
      <c r="F103" s="1" t="s">
        <v>15</v>
      </c>
      <c r="G103" s="1">
        <v>162.0</v>
      </c>
      <c r="H103" s="1">
        <v>1.0</v>
      </c>
      <c r="I103" s="1" t="s">
        <v>21</v>
      </c>
      <c r="J103" s="1" t="s">
        <v>39</v>
      </c>
      <c r="K103" s="1" t="s">
        <v>18</v>
      </c>
      <c r="L103" s="1">
        <v>0.0</v>
      </c>
    </row>
    <row r="104">
      <c r="A104" s="1" t="s">
        <v>236</v>
      </c>
      <c r="B104" s="1" t="s">
        <v>237</v>
      </c>
      <c r="C104" s="2">
        <v>45154.0</v>
      </c>
      <c r="D104" s="1">
        <v>7.6596131E7</v>
      </c>
      <c r="E104" s="1" t="s">
        <v>14</v>
      </c>
      <c r="F104" s="1" t="s">
        <v>15</v>
      </c>
      <c r="G104" s="1">
        <v>27.0</v>
      </c>
      <c r="H104" s="1">
        <v>0.0</v>
      </c>
      <c r="I104" s="1" t="s">
        <v>21</v>
      </c>
      <c r="J104" s="1" t="s">
        <v>43</v>
      </c>
      <c r="K104" s="1" t="s">
        <v>44</v>
      </c>
      <c r="L104" s="1">
        <v>0.0</v>
      </c>
    </row>
    <row r="105">
      <c r="A105" s="1" t="s">
        <v>238</v>
      </c>
      <c r="B105" s="1" t="s">
        <v>239</v>
      </c>
      <c r="C105" s="2">
        <v>44962.0</v>
      </c>
      <c r="D105" s="1">
        <v>8.0511557E7</v>
      </c>
      <c r="E105" s="1" t="s">
        <v>25</v>
      </c>
      <c r="F105" s="1" t="s">
        <v>33</v>
      </c>
      <c r="G105" s="1">
        <v>106.0</v>
      </c>
      <c r="H105" s="1">
        <v>1.0</v>
      </c>
      <c r="I105" s="1" t="s">
        <v>16</v>
      </c>
      <c r="J105" s="1" t="s">
        <v>35</v>
      </c>
      <c r="K105" s="1" t="s">
        <v>30</v>
      </c>
      <c r="L105" s="1">
        <v>0.0</v>
      </c>
    </row>
    <row r="106">
      <c r="A106" s="1" t="s">
        <v>240</v>
      </c>
      <c r="B106" s="1" t="s">
        <v>241</v>
      </c>
      <c r="C106" s="2">
        <v>45136.0</v>
      </c>
      <c r="D106" s="1">
        <v>4.2150992E7</v>
      </c>
      <c r="E106" s="1" t="s">
        <v>47</v>
      </c>
      <c r="F106" s="1" t="s">
        <v>26</v>
      </c>
      <c r="G106" s="1">
        <v>28.0</v>
      </c>
      <c r="H106" s="1">
        <v>0.0</v>
      </c>
      <c r="I106" s="1" t="s">
        <v>34</v>
      </c>
      <c r="J106" s="1" t="s">
        <v>35</v>
      </c>
      <c r="K106" s="1" t="s">
        <v>44</v>
      </c>
      <c r="L106" s="1">
        <v>0.0</v>
      </c>
    </row>
    <row r="107">
      <c r="A107" s="1" t="s">
        <v>242</v>
      </c>
      <c r="B107" s="1" t="s">
        <v>243</v>
      </c>
      <c r="C107" s="2">
        <v>45078.0</v>
      </c>
      <c r="D107" s="1">
        <v>6.3625486E7</v>
      </c>
      <c r="E107" s="1" t="s">
        <v>47</v>
      </c>
      <c r="F107" s="1" t="s">
        <v>15</v>
      </c>
      <c r="G107" s="1">
        <v>127.0</v>
      </c>
      <c r="H107" s="1">
        <v>1.0</v>
      </c>
      <c r="I107" s="1" t="s">
        <v>21</v>
      </c>
      <c r="J107" s="1" t="s">
        <v>17</v>
      </c>
      <c r="K107" s="1" t="s">
        <v>18</v>
      </c>
      <c r="L107" s="1">
        <v>0.0</v>
      </c>
    </row>
    <row r="108">
      <c r="A108" s="1" t="s">
        <v>244</v>
      </c>
      <c r="B108" s="1" t="s">
        <v>245</v>
      </c>
      <c r="C108" s="2">
        <v>44988.0</v>
      </c>
      <c r="D108" s="1">
        <v>9.9992828E7</v>
      </c>
      <c r="E108" s="1" t="s">
        <v>25</v>
      </c>
      <c r="F108" s="1" t="s">
        <v>38</v>
      </c>
      <c r="G108" s="1">
        <v>169.0</v>
      </c>
      <c r="H108" s="1">
        <v>1.0</v>
      </c>
      <c r="I108" s="1" t="s">
        <v>27</v>
      </c>
      <c r="J108" s="1" t="s">
        <v>17</v>
      </c>
      <c r="K108" s="1" t="s">
        <v>44</v>
      </c>
      <c r="L108" s="1">
        <v>0.0</v>
      </c>
    </row>
    <row r="109">
      <c r="A109" s="1" t="s">
        <v>246</v>
      </c>
      <c r="B109" s="1" t="s">
        <v>247</v>
      </c>
      <c r="C109" s="2">
        <v>45044.0</v>
      </c>
      <c r="D109" s="1">
        <v>3.0338371E7</v>
      </c>
      <c r="E109" s="1" t="s">
        <v>47</v>
      </c>
      <c r="F109" s="1" t="s">
        <v>26</v>
      </c>
      <c r="G109" s="1">
        <v>39.0</v>
      </c>
      <c r="H109" s="1">
        <v>1.0</v>
      </c>
      <c r="I109" s="1" t="s">
        <v>21</v>
      </c>
      <c r="J109" s="1" t="s">
        <v>22</v>
      </c>
      <c r="K109" s="1" t="s">
        <v>18</v>
      </c>
      <c r="L109" s="1">
        <v>0.0</v>
      </c>
    </row>
    <row r="110">
      <c r="A110" s="1" t="s">
        <v>248</v>
      </c>
      <c r="B110" s="1" t="s">
        <v>249</v>
      </c>
      <c r="C110" s="2">
        <v>45108.0</v>
      </c>
      <c r="D110" s="1">
        <v>2.5660913E7</v>
      </c>
      <c r="E110" s="1" t="s">
        <v>14</v>
      </c>
      <c r="F110" s="1" t="s">
        <v>26</v>
      </c>
      <c r="G110" s="1">
        <v>139.0</v>
      </c>
      <c r="H110" s="1">
        <v>1.0</v>
      </c>
      <c r="I110" s="1" t="s">
        <v>34</v>
      </c>
      <c r="J110" s="1" t="s">
        <v>35</v>
      </c>
      <c r="K110" s="1" t="s">
        <v>18</v>
      </c>
      <c r="L110" s="1">
        <v>0.0</v>
      </c>
    </row>
    <row r="111">
      <c r="A111" s="1" t="s">
        <v>250</v>
      </c>
      <c r="B111" s="1" t="s">
        <v>251</v>
      </c>
      <c r="C111" s="2">
        <v>44939.0</v>
      </c>
      <c r="D111" s="1">
        <v>8.1844029E7</v>
      </c>
      <c r="E111" s="1" t="s">
        <v>25</v>
      </c>
      <c r="F111" s="1" t="s">
        <v>38</v>
      </c>
      <c r="G111" s="1">
        <v>93.0</v>
      </c>
      <c r="H111" s="1">
        <v>0.0</v>
      </c>
      <c r="I111" s="1" t="s">
        <v>34</v>
      </c>
      <c r="J111" s="1" t="s">
        <v>39</v>
      </c>
      <c r="K111" s="1" t="s">
        <v>44</v>
      </c>
      <c r="L111" s="1">
        <v>0.0</v>
      </c>
    </row>
    <row r="112">
      <c r="A112" s="1" t="s">
        <v>252</v>
      </c>
      <c r="B112" s="1" t="s">
        <v>253</v>
      </c>
      <c r="C112" s="2">
        <v>44934.0</v>
      </c>
      <c r="D112" s="1">
        <v>7.4701216E7</v>
      </c>
      <c r="E112" s="1" t="s">
        <v>25</v>
      </c>
      <c r="F112" s="1" t="s">
        <v>26</v>
      </c>
      <c r="G112" s="1">
        <v>81.0</v>
      </c>
      <c r="H112" s="1">
        <v>1.0</v>
      </c>
      <c r="I112" s="1" t="s">
        <v>27</v>
      </c>
      <c r="J112" s="1" t="s">
        <v>43</v>
      </c>
      <c r="K112" s="1" t="s">
        <v>18</v>
      </c>
      <c r="L112" s="1">
        <v>0.0</v>
      </c>
    </row>
    <row r="113">
      <c r="A113" s="1" t="s">
        <v>254</v>
      </c>
      <c r="B113" s="1" t="s">
        <v>255</v>
      </c>
      <c r="C113" s="2">
        <v>45037.0</v>
      </c>
      <c r="D113" s="1">
        <v>9.3100106E7</v>
      </c>
      <c r="E113" s="1" t="s">
        <v>47</v>
      </c>
      <c r="F113" s="1" t="s">
        <v>15</v>
      </c>
      <c r="G113" s="1">
        <v>22.0</v>
      </c>
      <c r="H113" s="1">
        <v>0.0</v>
      </c>
      <c r="I113" s="1" t="s">
        <v>27</v>
      </c>
      <c r="J113" s="1" t="s">
        <v>22</v>
      </c>
      <c r="K113" s="1" t="s">
        <v>44</v>
      </c>
      <c r="L113" s="1">
        <v>0.0</v>
      </c>
    </row>
    <row r="114">
      <c r="A114" s="1" t="s">
        <v>256</v>
      </c>
      <c r="B114" s="1" t="s">
        <v>257</v>
      </c>
      <c r="C114" s="2">
        <v>45094.0</v>
      </c>
      <c r="D114" s="1">
        <v>3.0717411E7</v>
      </c>
      <c r="E114" s="1" t="s">
        <v>14</v>
      </c>
      <c r="F114" s="1" t="s">
        <v>15</v>
      </c>
      <c r="G114" s="1">
        <v>100.0</v>
      </c>
      <c r="H114" s="1">
        <v>0.0</v>
      </c>
      <c r="I114" s="1" t="s">
        <v>34</v>
      </c>
      <c r="J114" s="1" t="s">
        <v>22</v>
      </c>
      <c r="K114" s="1" t="s">
        <v>44</v>
      </c>
      <c r="L114" s="1">
        <v>0.0</v>
      </c>
    </row>
    <row r="115">
      <c r="A115" s="1" t="s">
        <v>258</v>
      </c>
      <c r="B115" s="1" t="s">
        <v>259</v>
      </c>
      <c r="C115" s="2">
        <v>45277.0</v>
      </c>
      <c r="D115" s="1">
        <v>4.2256007E7</v>
      </c>
      <c r="E115" s="1" t="s">
        <v>14</v>
      </c>
      <c r="F115" s="1" t="s">
        <v>38</v>
      </c>
      <c r="G115" s="1">
        <v>53.0</v>
      </c>
      <c r="H115" s="1">
        <v>1.0</v>
      </c>
      <c r="I115" s="1" t="s">
        <v>21</v>
      </c>
      <c r="J115" s="1" t="s">
        <v>17</v>
      </c>
      <c r="K115" s="1" t="s">
        <v>44</v>
      </c>
      <c r="L115" s="1">
        <v>0.0</v>
      </c>
    </row>
    <row r="116">
      <c r="A116" s="1" t="s">
        <v>260</v>
      </c>
      <c r="B116" s="1" t="s">
        <v>261</v>
      </c>
      <c r="C116" s="2">
        <v>45074.0</v>
      </c>
      <c r="D116" s="1">
        <v>5.3878748E7</v>
      </c>
      <c r="E116" s="1" t="s">
        <v>25</v>
      </c>
      <c r="F116" s="1" t="s">
        <v>38</v>
      </c>
      <c r="G116" s="1">
        <v>42.0</v>
      </c>
      <c r="H116" s="1">
        <v>0.0</v>
      </c>
      <c r="I116" s="1" t="s">
        <v>16</v>
      </c>
      <c r="J116" s="1" t="s">
        <v>17</v>
      </c>
      <c r="K116" s="1" t="s">
        <v>44</v>
      </c>
      <c r="L116" s="1">
        <v>0.0</v>
      </c>
    </row>
    <row r="117">
      <c r="A117" s="1" t="s">
        <v>262</v>
      </c>
      <c r="B117" s="1" t="s">
        <v>263</v>
      </c>
      <c r="C117" s="2">
        <v>45161.0</v>
      </c>
      <c r="D117" s="1">
        <v>3.1214483E7</v>
      </c>
      <c r="E117" s="1" t="s">
        <v>14</v>
      </c>
      <c r="F117" s="1" t="s">
        <v>26</v>
      </c>
      <c r="G117" s="1">
        <v>5.0</v>
      </c>
      <c r="H117" s="1">
        <v>0.0</v>
      </c>
      <c r="I117" s="1" t="s">
        <v>21</v>
      </c>
      <c r="J117" s="1" t="s">
        <v>17</v>
      </c>
      <c r="K117" s="1" t="s">
        <v>30</v>
      </c>
      <c r="L117" s="1">
        <v>1.0</v>
      </c>
    </row>
    <row r="118">
      <c r="A118" s="1" t="s">
        <v>264</v>
      </c>
      <c r="B118" s="1" t="s">
        <v>265</v>
      </c>
      <c r="C118" s="2">
        <v>44992.0</v>
      </c>
      <c r="D118" s="1">
        <v>6.797346E7</v>
      </c>
      <c r="E118" s="1" t="s">
        <v>25</v>
      </c>
      <c r="F118" s="1" t="s">
        <v>42</v>
      </c>
      <c r="G118" s="1">
        <v>118.0</v>
      </c>
      <c r="H118" s="1">
        <v>0.0</v>
      </c>
      <c r="I118" s="1" t="s">
        <v>16</v>
      </c>
      <c r="J118" s="1" t="s">
        <v>39</v>
      </c>
      <c r="K118" s="1" t="s">
        <v>30</v>
      </c>
      <c r="L118" s="1">
        <v>1.0</v>
      </c>
    </row>
    <row r="119">
      <c r="A119" s="1" t="s">
        <v>266</v>
      </c>
      <c r="B119" s="1" t="s">
        <v>267</v>
      </c>
      <c r="C119" s="2">
        <v>45009.0</v>
      </c>
      <c r="D119" s="1">
        <v>8.958813E7</v>
      </c>
      <c r="E119" s="1" t="s">
        <v>47</v>
      </c>
      <c r="F119" s="1" t="s">
        <v>42</v>
      </c>
      <c r="G119" s="1">
        <v>113.0</v>
      </c>
      <c r="H119" s="1">
        <v>1.0</v>
      </c>
      <c r="I119" s="1" t="s">
        <v>16</v>
      </c>
      <c r="J119" s="1" t="s">
        <v>39</v>
      </c>
      <c r="K119" s="1" t="s">
        <v>44</v>
      </c>
      <c r="L119" s="1">
        <v>1.0</v>
      </c>
    </row>
    <row r="120">
      <c r="A120" s="1" t="s">
        <v>268</v>
      </c>
      <c r="B120" s="1" t="s">
        <v>269</v>
      </c>
      <c r="C120" s="2">
        <v>45016.0</v>
      </c>
      <c r="D120" s="1">
        <v>7.6689444E7</v>
      </c>
      <c r="E120" s="1" t="s">
        <v>14</v>
      </c>
      <c r="F120" s="1" t="s">
        <v>33</v>
      </c>
      <c r="G120" s="1">
        <v>9.0</v>
      </c>
      <c r="H120" s="1">
        <v>1.0</v>
      </c>
      <c r="I120" s="1" t="s">
        <v>16</v>
      </c>
      <c r="J120" s="1" t="s">
        <v>17</v>
      </c>
      <c r="K120" s="1" t="s">
        <v>30</v>
      </c>
      <c r="L120" s="1">
        <v>0.0</v>
      </c>
    </row>
    <row r="121">
      <c r="A121" s="1" t="s">
        <v>270</v>
      </c>
      <c r="B121" s="1" t="s">
        <v>271</v>
      </c>
      <c r="C121" s="2">
        <v>45028.0</v>
      </c>
      <c r="D121" s="1">
        <v>8.4304353E7</v>
      </c>
      <c r="E121" s="1" t="s">
        <v>25</v>
      </c>
      <c r="F121" s="1" t="s">
        <v>42</v>
      </c>
      <c r="G121" s="1">
        <v>100.0</v>
      </c>
      <c r="H121" s="1">
        <v>0.0</v>
      </c>
      <c r="I121" s="1" t="s">
        <v>21</v>
      </c>
      <c r="J121" s="1" t="s">
        <v>35</v>
      </c>
      <c r="K121" s="1" t="s">
        <v>18</v>
      </c>
      <c r="L121" s="1">
        <v>0.0</v>
      </c>
    </row>
    <row r="122">
      <c r="A122" s="1" t="s">
        <v>272</v>
      </c>
      <c r="B122" s="1" t="s">
        <v>273</v>
      </c>
      <c r="C122" s="2">
        <v>45111.0</v>
      </c>
      <c r="D122" s="1">
        <v>5.7439327E7</v>
      </c>
      <c r="E122" s="1" t="s">
        <v>25</v>
      </c>
      <c r="F122" s="1" t="s">
        <v>26</v>
      </c>
      <c r="G122" s="1">
        <v>132.0</v>
      </c>
      <c r="H122" s="1">
        <v>0.0</v>
      </c>
      <c r="I122" s="1" t="s">
        <v>21</v>
      </c>
      <c r="J122" s="1" t="s">
        <v>17</v>
      </c>
      <c r="K122" s="1" t="s">
        <v>30</v>
      </c>
      <c r="L122" s="1">
        <v>0.0</v>
      </c>
    </row>
    <row r="123">
      <c r="A123" s="1" t="s">
        <v>274</v>
      </c>
      <c r="B123" s="1" t="s">
        <v>275</v>
      </c>
      <c r="C123" s="2">
        <v>44999.0</v>
      </c>
      <c r="D123" s="1">
        <v>6.8401801E7</v>
      </c>
      <c r="E123" s="1" t="s">
        <v>14</v>
      </c>
      <c r="F123" s="1" t="s">
        <v>42</v>
      </c>
      <c r="G123" s="1">
        <v>15.0</v>
      </c>
      <c r="H123" s="1">
        <v>1.0</v>
      </c>
      <c r="I123" s="1" t="s">
        <v>16</v>
      </c>
      <c r="J123" s="1" t="s">
        <v>35</v>
      </c>
      <c r="K123" s="1" t="s">
        <v>30</v>
      </c>
      <c r="L123" s="1">
        <v>1.0</v>
      </c>
    </row>
    <row r="124">
      <c r="A124" s="1" t="s">
        <v>276</v>
      </c>
      <c r="B124" s="1" t="s">
        <v>277</v>
      </c>
      <c r="C124" s="2">
        <v>45105.0</v>
      </c>
      <c r="D124" s="1">
        <v>3.563162E7</v>
      </c>
      <c r="E124" s="1" t="s">
        <v>25</v>
      </c>
      <c r="F124" s="1" t="s">
        <v>26</v>
      </c>
      <c r="G124" s="1">
        <v>34.0</v>
      </c>
      <c r="H124" s="1">
        <v>0.0</v>
      </c>
      <c r="I124" s="1" t="s">
        <v>21</v>
      </c>
      <c r="J124" s="1" t="s">
        <v>17</v>
      </c>
      <c r="K124" s="1" t="s">
        <v>18</v>
      </c>
      <c r="L124" s="1">
        <v>0.0</v>
      </c>
    </row>
    <row r="125">
      <c r="A125" s="1" t="s">
        <v>278</v>
      </c>
      <c r="B125" s="1" t="s">
        <v>279</v>
      </c>
      <c r="C125" s="2">
        <v>44961.0</v>
      </c>
      <c r="D125" s="1">
        <v>9.2834866E7</v>
      </c>
      <c r="E125" s="1" t="s">
        <v>25</v>
      </c>
      <c r="F125" s="1" t="s">
        <v>33</v>
      </c>
      <c r="G125" s="1">
        <v>102.0</v>
      </c>
      <c r="H125" s="1">
        <v>1.0</v>
      </c>
      <c r="I125" s="1" t="s">
        <v>27</v>
      </c>
      <c r="J125" s="1" t="s">
        <v>39</v>
      </c>
      <c r="K125" s="1" t="s">
        <v>18</v>
      </c>
      <c r="L125" s="1">
        <v>0.0</v>
      </c>
    </row>
    <row r="126">
      <c r="A126" s="1" t="s">
        <v>280</v>
      </c>
      <c r="B126" s="1" t="s">
        <v>281</v>
      </c>
      <c r="C126" s="2">
        <v>44938.0</v>
      </c>
      <c r="D126" s="1">
        <v>7.631085E7</v>
      </c>
      <c r="E126" s="1" t="s">
        <v>47</v>
      </c>
      <c r="F126" s="1" t="s">
        <v>42</v>
      </c>
      <c r="G126" s="1">
        <v>110.0</v>
      </c>
      <c r="H126" s="1">
        <v>1.0</v>
      </c>
      <c r="I126" s="1" t="s">
        <v>27</v>
      </c>
      <c r="J126" s="1" t="s">
        <v>17</v>
      </c>
      <c r="K126" s="1" t="s">
        <v>18</v>
      </c>
      <c r="L126" s="1">
        <v>0.0</v>
      </c>
    </row>
    <row r="127">
      <c r="A127" s="1" t="s">
        <v>282</v>
      </c>
      <c r="B127" s="1" t="s">
        <v>283</v>
      </c>
      <c r="C127" s="2">
        <v>45035.0</v>
      </c>
      <c r="D127" s="1">
        <v>9.5076942E7</v>
      </c>
      <c r="E127" s="1" t="s">
        <v>47</v>
      </c>
      <c r="F127" s="1" t="s">
        <v>33</v>
      </c>
      <c r="G127" s="1">
        <v>18.0</v>
      </c>
      <c r="H127" s="1">
        <v>0.0</v>
      </c>
      <c r="I127" s="1" t="s">
        <v>27</v>
      </c>
      <c r="J127" s="1" t="s">
        <v>22</v>
      </c>
      <c r="K127" s="1" t="s">
        <v>18</v>
      </c>
      <c r="L127" s="1">
        <v>0.0</v>
      </c>
    </row>
    <row r="128">
      <c r="A128" s="1" t="s">
        <v>284</v>
      </c>
      <c r="B128" s="1" t="s">
        <v>285</v>
      </c>
      <c r="C128" s="2">
        <v>45066.0</v>
      </c>
      <c r="D128" s="1">
        <v>9.3799232E7</v>
      </c>
      <c r="E128" s="1" t="s">
        <v>14</v>
      </c>
      <c r="F128" s="1" t="s">
        <v>15</v>
      </c>
      <c r="G128" s="1">
        <v>24.0</v>
      </c>
      <c r="H128" s="1">
        <v>1.0</v>
      </c>
      <c r="I128" s="1" t="s">
        <v>27</v>
      </c>
      <c r="J128" s="1" t="s">
        <v>43</v>
      </c>
      <c r="K128" s="1" t="s">
        <v>18</v>
      </c>
      <c r="L128" s="1">
        <v>0.0</v>
      </c>
    </row>
    <row r="129">
      <c r="A129" s="1" t="s">
        <v>286</v>
      </c>
      <c r="B129" s="1" t="s">
        <v>287</v>
      </c>
      <c r="C129" s="2">
        <v>45287.0</v>
      </c>
      <c r="D129" s="1">
        <v>9.9582159E7</v>
      </c>
      <c r="E129" s="1" t="s">
        <v>47</v>
      </c>
      <c r="F129" s="1" t="s">
        <v>15</v>
      </c>
      <c r="G129" s="1">
        <v>46.0</v>
      </c>
      <c r="H129" s="1">
        <v>1.0</v>
      </c>
      <c r="I129" s="1" t="s">
        <v>16</v>
      </c>
      <c r="J129" s="1" t="s">
        <v>35</v>
      </c>
      <c r="K129" s="1" t="s">
        <v>30</v>
      </c>
      <c r="L129" s="1">
        <v>0.0</v>
      </c>
    </row>
    <row r="130">
      <c r="A130" s="1" t="s">
        <v>288</v>
      </c>
      <c r="B130" s="1" t="s">
        <v>289</v>
      </c>
      <c r="C130" s="2">
        <v>45104.0</v>
      </c>
      <c r="D130" s="1">
        <v>8.8566979E7</v>
      </c>
      <c r="E130" s="1" t="s">
        <v>14</v>
      </c>
      <c r="F130" s="1" t="s">
        <v>33</v>
      </c>
      <c r="G130" s="1">
        <v>177.0</v>
      </c>
      <c r="H130" s="1">
        <v>1.0</v>
      </c>
      <c r="I130" s="1" t="s">
        <v>34</v>
      </c>
      <c r="J130" s="1" t="s">
        <v>22</v>
      </c>
      <c r="K130" s="1" t="s">
        <v>44</v>
      </c>
      <c r="L130" s="1">
        <v>0.0</v>
      </c>
    </row>
    <row r="131">
      <c r="A131" s="1" t="s">
        <v>290</v>
      </c>
      <c r="B131" s="1" t="s">
        <v>291</v>
      </c>
      <c r="C131" s="2">
        <v>45150.0</v>
      </c>
      <c r="D131" s="1">
        <v>5.0117437E7</v>
      </c>
      <c r="E131" s="1" t="s">
        <v>25</v>
      </c>
      <c r="F131" s="1" t="s">
        <v>42</v>
      </c>
      <c r="G131" s="1">
        <v>56.0</v>
      </c>
      <c r="H131" s="1">
        <v>1.0</v>
      </c>
      <c r="I131" s="1" t="s">
        <v>27</v>
      </c>
      <c r="J131" s="1" t="s">
        <v>35</v>
      </c>
      <c r="K131" s="1" t="s">
        <v>30</v>
      </c>
      <c r="L131" s="1">
        <v>0.0</v>
      </c>
    </row>
    <row r="132">
      <c r="A132" s="1" t="s">
        <v>292</v>
      </c>
      <c r="B132" s="1" t="s">
        <v>293</v>
      </c>
      <c r="C132" s="2">
        <v>45231.0</v>
      </c>
      <c r="D132" s="1">
        <v>8.7987843E7</v>
      </c>
      <c r="E132" s="1" t="s">
        <v>47</v>
      </c>
      <c r="F132" s="1" t="s">
        <v>15</v>
      </c>
      <c r="G132" s="1">
        <v>112.0</v>
      </c>
      <c r="H132" s="1">
        <v>1.0</v>
      </c>
      <c r="I132" s="1" t="s">
        <v>34</v>
      </c>
      <c r="J132" s="1" t="s">
        <v>35</v>
      </c>
      <c r="K132" s="1" t="s">
        <v>30</v>
      </c>
      <c r="L132" s="1">
        <v>0.0</v>
      </c>
    </row>
    <row r="133">
      <c r="A133" s="1" t="s">
        <v>294</v>
      </c>
      <c r="B133" s="1" t="s">
        <v>295</v>
      </c>
      <c r="C133" s="2">
        <v>45001.0</v>
      </c>
      <c r="D133" s="1">
        <v>8.3619939E7</v>
      </c>
      <c r="E133" s="1" t="s">
        <v>25</v>
      </c>
      <c r="F133" s="1" t="s">
        <v>26</v>
      </c>
      <c r="G133" s="1">
        <v>149.0</v>
      </c>
      <c r="H133" s="1">
        <v>0.0</v>
      </c>
      <c r="I133" s="1" t="s">
        <v>16</v>
      </c>
      <c r="J133" s="1" t="s">
        <v>35</v>
      </c>
      <c r="K133" s="1" t="s">
        <v>18</v>
      </c>
      <c r="L133" s="1">
        <v>0.0</v>
      </c>
    </row>
    <row r="134">
      <c r="A134" s="1" t="s">
        <v>296</v>
      </c>
      <c r="B134" s="1" t="s">
        <v>297</v>
      </c>
      <c r="C134" s="2">
        <v>45066.0</v>
      </c>
      <c r="D134" s="1">
        <v>7.0315547E7</v>
      </c>
      <c r="E134" s="1" t="s">
        <v>25</v>
      </c>
      <c r="F134" s="1" t="s">
        <v>15</v>
      </c>
      <c r="G134" s="1">
        <v>170.0</v>
      </c>
      <c r="H134" s="1">
        <v>0.0</v>
      </c>
      <c r="I134" s="1" t="s">
        <v>16</v>
      </c>
      <c r="J134" s="1" t="s">
        <v>39</v>
      </c>
      <c r="K134" s="1" t="s">
        <v>30</v>
      </c>
      <c r="L134" s="1">
        <v>0.0</v>
      </c>
    </row>
    <row r="135">
      <c r="A135" s="1" t="s">
        <v>298</v>
      </c>
      <c r="B135" s="1" t="s">
        <v>299</v>
      </c>
      <c r="C135" s="2">
        <v>45020.0</v>
      </c>
      <c r="D135" s="1">
        <v>9.6537213E7</v>
      </c>
      <c r="E135" s="1" t="s">
        <v>47</v>
      </c>
      <c r="F135" s="1" t="s">
        <v>42</v>
      </c>
      <c r="G135" s="1">
        <v>19.0</v>
      </c>
      <c r="H135" s="1">
        <v>1.0</v>
      </c>
      <c r="I135" s="1" t="s">
        <v>21</v>
      </c>
      <c r="J135" s="1" t="s">
        <v>17</v>
      </c>
      <c r="K135" s="1" t="s">
        <v>18</v>
      </c>
      <c r="L135" s="1">
        <v>0.0</v>
      </c>
    </row>
    <row r="136">
      <c r="A136" s="1" t="s">
        <v>300</v>
      </c>
      <c r="B136" s="1" t="s">
        <v>301</v>
      </c>
      <c r="C136" s="2">
        <v>44961.0</v>
      </c>
      <c r="D136" s="1">
        <v>3.8373329E7</v>
      </c>
      <c r="E136" s="1" t="s">
        <v>14</v>
      </c>
      <c r="F136" s="1" t="s">
        <v>42</v>
      </c>
      <c r="G136" s="1">
        <v>169.0</v>
      </c>
      <c r="H136" s="1">
        <v>1.0</v>
      </c>
      <c r="I136" s="1" t="s">
        <v>21</v>
      </c>
      <c r="J136" s="1" t="s">
        <v>35</v>
      </c>
      <c r="K136" s="1" t="s">
        <v>18</v>
      </c>
      <c r="L136" s="1">
        <v>0.0</v>
      </c>
    </row>
    <row r="137">
      <c r="A137" s="1" t="s">
        <v>302</v>
      </c>
      <c r="B137" s="1" t="s">
        <v>303</v>
      </c>
      <c r="C137" s="2">
        <v>45129.0</v>
      </c>
      <c r="D137" s="1">
        <v>8.6132718E7</v>
      </c>
      <c r="E137" s="1" t="s">
        <v>47</v>
      </c>
      <c r="F137" s="1" t="s">
        <v>42</v>
      </c>
      <c r="G137" s="1">
        <v>119.0</v>
      </c>
      <c r="H137" s="1">
        <v>1.0</v>
      </c>
      <c r="I137" s="1" t="s">
        <v>34</v>
      </c>
      <c r="J137" s="1" t="s">
        <v>35</v>
      </c>
      <c r="K137" s="1" t="s">
        <v>30</v>
      </c>
      <c r="L137" s="1">
        <v>0.0</v>
      </c>
    </row>
    <row r="138">
      <c r="A138" s="1" t="s">
        <v>304</v>
      </c>
      <c r="B138" s="1" t="s">
        <v>305</v>
      </c>
      <c r="C138" s="2">
        <v>45168.0</v>
      </c>
      <c r="D138" s="1">
        <v>3.5480204E7</v>
      </c>
      <c r="E138" s="1" t="s">
        <v>47</v>
      </c>
      <c r="F138" s="1" t="s">
        <v>26</v>
      </c>
      <c r="G138" s="1">
        <v>137.0</v>
      </c>
      <c r="H138" s="1">
        <v>1.0</v>
      </c>
      <c r="I138" s="1" t="s">
        <v>34</v>
      </c>
      <c r="J138" s="1" t="s">
        <v>22</v>
      </c>
      <c r="K138" s="1" t="s">
        <v>18</v>
      </c>
      <c r="L138" s="1">
        <v>0.0</v>
      </c>
    </row>
    <row r="139">
      <c r="A139" s="1" t="s">
        <v>306</v>
      </c>
      <c r="B139" s="1" t="s">
        <v>307</v>
      </c>
      <c r="C139" s="2">
        <v>45222.0</v>
      </c>
      <c r="D139" s="1">
        <v>2.1903571E7</v>
      </c>
      <c r="E139" s="1" t="s">
        <v>47</v>
      </c>
      <c r="F139" s="1" t="s">
        <v>38</v>
      </c>
      <c r="G139" s="1">
        <v>52.0</v>
      </c>
      <c r="H139" s="1">
        <v>0.0</v>
      </c>
      <c r="I139" s="1" t="s">
        <v>21</v>
      </c>
      <c r="J139" s="1" t="s">
        <v>43</v>
      </c>
      <c r="K139" s="1" t="s">
        <v>44</v>
      </c>
      <c r="L139" s="1">
        <v>0.0</v>
      </c>
    </row>
    <row r="140">
      <c r="A140" s="1" t="s">
        <v>308</v>
      </c>
      <c r="B140" s="1" t="s">
        <v>309</v>
      </c>
      <c r="C140" s="2">
        <v>44937.0</v>
      </c>
      <c r="D140" s="1">
        <v>6.7424771E7</v>
      </c>
      <c r="E140" s="1" t="s">
        <v>47</v>
      </c>
      <c r="F140" s="1" t="s">
        <v>15</v>
      </c>
      <c r="G140" s="1">
        <v>133.0</v>
      </c>
      <c r="H140" s="1">
        <v>1.0</v>
      </c>
      <c r="I140" s="1" t="s">
        <v>34</v>
      </c>
      <c r="J140" s="1" t="s">
        <v>17</v>
      </c>
      <c r="K140" s="1" t="s">
        <v>18</v>
      </c>
      <c r="L140" s="1">
        <v>0.0</v>
      </c>
    </row>
    <row r="141">
      <c r="A141" s="1" t="s">
        <v>310</v>
      </c>
      <c r="B141" s="1" t="s">
        <v>311</v>
      </c>
      <c r="C141" s="2">
        <v>45185.0</v>
      </c>
      <c r="D141" s="1">
        <v>7.9348898E7</v>
      </c>
      <c r="E141" s="1" t="s">
        <v>14</v>
      </c>
      <c r="F141" s="1" t="s">
        <v>26</v>
      </c>
      <c r="G141" s="1">
        <v>54.0</v>
      </c>
      <c r="H141" s="1">
        <v>1.0</v>
      </c>
      <c r="I141" s="1" t="s">
        <v>21</v>
      </c>
      <c r="J141" s="1" t="s">
        <v>39</v>
      </c>
      <c r="K141" s="1" t="s">
        <v>18</v>
      </c>
      <c r="L141" s="1">
        <v>0.0</v>
      </c>
    </row>
    <row r="142">
      <c r="A142" s="1" t="s">
        <v>312</v>
      </c>
      <c r="B142" s="1" t="s">
        <v>313</v>
      </c>
      <c r="C142" s="2">
        <v>45002.0</v>
      </c>
      <c r="D142" s="1">
        <v>8.2932411E7</v>
      </c>
      <c r="E142" s="1" t="s">
        <v>14</v>
      </c>
      <c r="F142" s="1" t="s">
        <v>15</v>
      </c>
      <c r="G142" s="1">
        <v>170.0</v>
      </c>
      <c r="H142" s="1">
        <v>1.0</v>
      </c>
      <c r="I142" s="1" t="s">
        <v>27</v>
      </c>
      <c r="J142" s="1" t="s">
        <v>22</v>
      </c>
      <c r="K142" s="1" t="s">
        <v>30</v>
      </c>
      <c r="L142" s="1">
        <v>1.0</v>
      </c>
    </row>
    <row r="143">
      <c r="A143" s="1" t="s">
        <v>314</v>
      </c>
      <c r="B143" s="1" t="s">
        <v>315</v>
      </c>
      <c r="C143" s="2">
        <v>44978.0</v>
      </c>
      <c r="D143" s="1">
        <v>6.5976999E7</v>
      </c>
      <c r="E143" s="1" t="s">
        <v>47</v>
      </c>
      <c r="F143" s="1" t="s">
        <v>33</v>
      </c>
      <c r="G143" s="1">
        <v>49.0</v>
      </c>
      <c r="H143" s="1">
        <v>0.0</v>
      </c>
      <c r="I143" s="1" t="s">
        <v>21</v>
      </c>
      <c r="J143" s="1" t="s">
        <v>35</v>
      </c>
      <c r="K143" s="1" t="s">
        <v>30</v>
      </c>
      <c r="L143" s="1">
        <v>0.0</v>
      </c>
    </row>
    <row r="144">
      <c r="A144" s="1" t="s">
        <v>316</v>
      </c>
      <c r="B144" s="1" t="s">
        <v>317</v>
      </c>
      <c r="C144" s="2">
        <v>45018.0</v>
      </c>
      <c r="D144" s="1">
        <v>8.1649266E7</v>
      </c>
      <c r="E144" s="1" t="s">
        <v>25</v>
      </c>
      <c r="F144" s="1" t="s">
        <v>33</v>
      </c>
      <c r="G144" s="1">
        <v>74.0</v>
      </c>
      <c r="H144" s="1">
        <v>1.0</v>
      </c>
      <c r="I144" s="1" t="s">
        <v>27</v>
      </c>
      <c r="J144" s="1" t="s">
        <v>43</v>
      </c>
      <c r="K144" s="1" t="s">
        <v>18</v>
      </c>
      <c r="L144" s="1">
        <v>0.0</v>
      </c>
    </row>
    <row r="145">
      <c r="A145" s="1" t="s">
        <v>318</v>
      </c>
      <c r="B145" s="1" t="s">
        <v>319</v>
      </c>
      <c r="C145" s="2">
        <v>45058.0</v>
      </c>
      <c r="D145" s="1">
        <v>485241.0</v>
      </c>
      <c r="E145" s="1" t="s">
        <v>25</v>
      </c>
      <c r="F145" s="1" t="s">
        <v>26</v>
      </c>
      <c r="G145" s="1">
        <v>109.0</v>
      </c>
      <c r="H145" s="1">
        <v>1.0</v>
      </c>
      <c r="I145" s="1" t="s">
        <v>27</v>
      </c>
      <c r="J145" s="1" t="s">
        <v>39</v>
      </c>
      <c r="K145" s="1" t="s">
        <v>30</v>
      </c>
      <c r="L145" s="1">
        <v>0.0</v>
      </c>
    </row>
    <row r="146">
      <c r="A146" s="1" t="s">
        <v>320</v>
      </c>
      <c r="B146" s="1" t="s">
        <v>321</v>
      </c>
      <c r="C146" s="2">
        <v>45199.0</v>
      </c>
      <c r="D146" s="1">
        <v>9.7955887E7</v>
      </c>
      <c r="E146" s="1" t="s">
        <v>14</v>
      </c>
      <c r="F146" s="1" t="s">
        <v>38</v>
      </c>
      <c r="G146" s="1">
        <v>21.0</v>
      </c>
      <c r="H146" s="1">
        <v>1.0</v>
      </c>
      <c r="I146" s="1" t="s">
        <v>27</v>
      </c>
      <c r="J146" s="1" t="s">
        <v>22</v>
      </c>
      <c r="K146" s="1" t="s">
        <v>18</v>
      </c>
      <c r="L146" s="1">
        <v>0.0</v>
      </c>
    </row>
    <row r="147">
      <c r="A147" s="1" t="s">
        <v>322</v>
      </c>
      <c r="B147" s="1" t="s">
        <v>323</v>
      </c>
      <c r="C147" s="2">
        <v>45246.0</v>
      </c>
      <c r="D147" s="1">
        <v>6.9612237E7</v>
      </c>
      <c r="E147" s="1" t="s">
        <v>14</v>
      </c>
      <c r="F147" s="1" t="s">
        <v>33</v>
      </c>
      <c r="G147" s="1">
        <v>21.0</v>
      </c>
      <c r="H147" s="1">
        <v>1.0</v>
      </c>
      <c r="I147" s="1" t="s">
        <v>21</v>
      </c>
      <c r="J147" s="1" t="s">
        <v>39</v>
      </c>
      <c r="K147" s="1" t="s">
        <v>44</v>
      </c>
      <c r="L147" s="1">
        <v>0.0</v>
      </c>
    </row>
    <row r="148">
      <c r="A148" s="1" t="s">
        <v>324</v>
      </c>
      <c r="B148" s="1" t="s">
        <v>325</v>
      </c>
      <c r="C148" s="2">
        <v>45247.0</v>
      </c>
      <c r="D148" s="1">
        <v>1.884317E7</v>
      </c>
      <c r="E148" s="1" t="s">
        <v>14</v>
      </c>
      <c r="F148" s="1" t="s">
        <v>15</v>
      </c>
      <c r="G148" s="1">
        <v>15.0</v>
      </c>
      <c r="H148" s="1">
        <v>1.0</v>
      </c>
      <c r="I148" s="1" t="s">
        <v>34</v>
      </c>
      <c r="J148" s="1" t="s">
        <v>39</v>
      </c>
      <c r="K148" s="1" t="s">
        <v>18</v>
      </c>
      <c r="L148" s="1">
        <v>0.0</v>
      </c>
    </row>
    <row r="149">
      <c r="A149" s="1" t="s">
        <v>326</v>
      </c>
      <c r="B149" s="1" t="s">
        <v>327</v>
      </c>
      <c r="C149" s="2">
        <v>45196.0</v>
      </c>
      <c r="D149" s="1">
        <v>7.0420784E7</v>
      </c>
      <c r="E149" s="1" t="s">
        <v>14</v>
      </c>
      <c r="F149" s="1" t="s">
        <v>42</v>
      </c>
      <c r="G149" s="1">
        <v>10.0</v>
      </c>
      <c r="H149" s="1">
        <v>0.0</v>
      </c>
      <c r="I149" s="1" t="s">
        <v>21</v>
      </c>
      <c r="J149" s="1" t="s">
        <v>43</v>
      </c>
      <c r="K149" s="1" t="s">
        <v>30</v>
      </c>
      <c r="L149" s="1">
        <v>1.0</v>
      </c>
    </row>
    <row r="150">
      <c r="A150" s="1" t="s">
        <v>328</v>
      </c>
      <c r="B150" s="1" t="s">
        <v>329</v>
      </c>
      <c r="C150" s="2">
        <v>45221.0</v>
      </c>
      <c r="D150" s="1">
        <v>1.2649372E7</v>
      </c>
      <c r="E150" s="1" t="s">
        <v>47</v>
      </c>
      <c r="F150" s="1" t="s">
        <v>15</v>
      </c>
      <c r="G150" s="1">
        <v>156.0</v>
      </c>
      <c r="H150" s="1">
        <v>0.0</v>
      </c>
      <c r="I150" s="1" t="s">
        <v>16</v>
      </c>
      <c r="J150" s="1" t="s">
        <v>39</v>
      </c>
      <c r="K150" s="1" t="s">
        <v>44</v>
      </c>
      <c r="L150" s="1">
        <v>0.0</v>
      </c>
    </row>
    <row r="151">
      <c r="A151" s="1" t="s">
        <v>330</v>
      </c>
      <c r="B151" s="1" t="s">
        <v>331</v>
      </c>
      <c r="C151" s="2">
        <v>45187.0</v>
      </c>
      <c r="D151" s="1">
        <v>5.9648E7</v>
      </c>
      <c r="E151" s="1" t="s">
        <v>14</v>
      </c>
      <c r="F151" s="1" t="s">
        <v>26</v>
      </c>
      <c r="G151" s="1">
        <v>72.0</v>
      </c>
      <c r="H151" s="1">
        <v>0.0</v>
      </c>
      <c r="I151" s="1" t="s">
        <v>21</v>
      </c>
      <c r="J151" s="1" t="s">
        <v>39</v>
      </c>
      <c r="K151" s="1" t="s">
        <v>30</v>
      </c>
      <c r="L151" s="1">
        <v>0.0</v>
      </c>
    </row>
    <row r="152">
      <c r="A152" s="1" t="s">
        <v>332</v>
      </c>
      <c r="B152" s="1" t="s">
        <v>333</v>
      </c>
      <c r="C152" s="2">
        <v>44930.0</v>
      </c>
      <c r="D152" s="1">
        <v>5124046.0</v>
      </c>
      <c r="E152" s="1" t="s">
        <v>14</v>
      </c>
      <c r="F152" s="1" t="s">
        <v>15</v>
      </c>
      <c r="G152" s="1">
        <v>171.0</v>
      </c>
      <c r="H152" s="1">
        <v>0.0</v>
      </c>
      <c r="I152" s="1" t="s">
        <v>21</v>
      </c>
      <c r="J152" s="1" t="s">
        <v>39</v>
      </c>
      <c r="K152" s="1" t="s">
        <v>18</v>
      </c>
      <c r="L152" s="1">
        <v>0.0</v>
      </c>
    </row>
    <row r="153">
      <c r="A153" s="1" t="s">
        <v>334</v>
      </c>
      <c r="B153" s="1" t="s">
        <v>335</v>
      </c>
      <c r="C153" s="2">
        <v>45008.0</v>
      </c>
      <c r="D153" s="1">
        <v>6601683.0</v>
      </c>
      <c r="E153" s="1" t="s">
        <v>47</v>
      </c>
      <c r="F153" s="1" t="s">
        <v>15</v>
      </c>
      <c r="G153" s="1">
        <v>23.0</v>
      </c>
      <c r="H153" s="1">
        <v>1.0</v>
      </c>
      <c r="I153" s="1" t="s">
        <v>16</v>
      </c>
      <c r="J153" s="1" t="s">
        <v>39</v>
      </c>
      <c r="K153" s="1" t="s">
        <v>30</v>
      </c>
      <c r="L153" s="1">
        <v>0.0</v>
      </c>
    </row>
    <row r="154">
      <c r="A154" s="1" t="s">
        <v>336</v>
      </c>
      <c r="B154" s="1" t="s">
        <v>337</v>
      </c>
      <c r="C154" s="2">
        <v>45071.0</v>
      </c>
      <c r="D154" s="1">
        <v>4.3341153E7</v>
      </c>
      <c r="E154" s="1" t="s">
        <v>14</v>
      </c>
      <c r="F154" s="1" t="s">
        <v>33</v>
      </c>
      <c r="G154" s="1">
        <v>99.0</v>
      </c>
      <c r="H154" s="1">
        <v>1.0</v>
      </c>
      <c r="I154" s="1" t="s">
        <v>21</v>
      </c>
      <c r="J154" s="1" t="s">
        <v>17</v>
      </c>
      <c r="K154" s="1" t="s">
        <v>30</v>
      </c>
      <c r="L154" s="1">
        <v>0.0</v>
      </c>
    </row>
    <row r="155">
      <c r="A155" s="1" t="s">
        <v>338</v>
      </c>
      <c r="B155" s="1" t="s">
        <v>339</v>
      </c>
      <c r="C155" s="2">
        <v>45254.0</v>
      </c>
      <c r="D155" s="1">
        <v>6.8053468E7</v>
      </c>
      <c r="E155" s="1" t="s">
        <v>14</v>
      </c>
      <c r="F155" s="1" t="s">
        <v>26</v>
      </c>
      <c r="G155" s="1">
        <v>36.0</v>
      </c>
      <c r="H155" s="1">
        <v>0.0</v>
      </c>
      <c r="I155" s="1" t="s">
        <v>16</v>
      </c>
      <c r="J155" s="1" t="s">
        <v>35</v>
      </c>
      <c r="K155" s="1" t="s">
        <v>18</v>
      </c>
      <c r="L155" s="1">
        <v>0.0</v>
      </c>
    </row>
    <row r="156">
      <c r="A156" s="1" t="s">
        <v>340</v>
      </c>
      <c r="B156" s="1" t="s">
        <v>341</v>
      </c>
      <c r="C156" s="2">
        <v>45079.0</v>
      </c>
      <c r="D156" s="1">
        <v>7952104.0</v>
      </c>
      <c r="E156" s="1" t="s">
        <v>14</v>
      </c>
      <c r="F156" s="1" t="s">
        <v>38</v>
      </c>
      <c r="G156" s="1">
        <v>175.0</v>
      </c>
      <c r="H156" s="1">
        <v>1.0</v>
      </c>
      <c r="I156" s="1" t="s">
        <v>34</v>
      </c>
      <c r="J156" s="1" t="s">
        <v>22</v>
      </c>
      <c r="K156" s="1" t="s">
        <v>44</v>
      </c>
      <c r="L156" s="1">
        <v>0.0</v>
      </c>
    </row>
    <row r="157">
      <c r="A157" s="1" t="s">
        <v>342</v>
      </c>
      <c r="B157" s="1" t="s">
        <v>343</v>
      </c>
      <c r="C157" s="2">
        <v>45194.0</v>
      </c>
      <c r="D157" s="1">
        <v>6.8240547E7</v>
      </c>
      <c r="E157" s="1" t="s">
        <v>14</v>
      </c>
      <c r="F157" s="1" t="s">
        <v>33</v>
      </c>
      <c r="G157" s="1">
        <v>52.0</v>
      </c>
      <c r="H157" s="1">
        <v>0.0</v>
      </c>
      <c r="I157" s="1" t="s">
        <v>27</v>
      </c>
      <c r="J157" s="1" t="s">
        <v>17</v>
      </c>
      <c r="K157" s="1" t="s">
        <v>30</v>
      </c>
      <c r="L157" s="1">
        <v>0.0</v>
      </c>
    </row>
    <row r="158">
      <c r="A158" s="1" t="s">
        <v>344</v>
      </c>
      <c r="B158" s="1" t="s">
        <v>345</v>
      </c>
      <c r="C158" s="2">
        <v>45077.0</v>
      </c>
      <c r="D158" s="1">
        <v>9.9721497E7</v>
      </c>
      <c r="E158" s="1" t="s">
        <v>47</v>
      </c>
      <c r="F158" s="1" t="s">
        <v>33</v>
      </c>
      <c r="G158" s="1">
        <v>26.0</v>
      </c>
      <c r="H158" s="1">
        <v>1.0</v>
      </c>
      <c r="I158" s="1" t="s">
        <v>16</v>
      </c>
      <c r="J158" s="1" t="s">
        <v>39</v>
      </c>
      <c r="K158" s="1" t="s">
        <v>18</v>
      </c>
      <c r="L158" s="1">
        <v>0.0</v>
      </c>
    </row>
    <row r="159">
      <c r="A159" s="1" t="s">
        <v>346</v>
      </c>
      <c r="B159" s="1" t="s">
        <v>347</v>
      </c>
      <c r="C159" s="2">
        <v>44987.0</v>
      </c>
      <c r="D159" s="1">
        <v>8.2874018E7</v>
      </c>
      <c r="E159" s="1" t="s">
        <v>25</v>
      </c>
      <c r="F159" s="1" t="s">
        <v>38</v>
      </c>
      <c r="G159" s="1">
        <v>60.0</v>
      </c>
      <c r="H159" s="1">
        <v>1.0</v>
      </c>
      <c r="I159" s="1" t="s">
        <v>21</v>
      </c>
      <c r="J159" s="1" t="s">
        <v>35</v>
      </c>
      <c r="K159" s="1" t="s">
        <v>44</v>
      </c>
      <c r="L159" s="1">
        <v>0.0</v>
      </c>
    </row>
    <row r="160">
      <c r="A160" s="1" t="s">
        <v>348</v>
      </c>
      <c r="B160" s="1" t="s">
        <v>349</v>
      </c>
      <c r="C160" s="2">
        <v>45146.0</v>
      </c>
      <c r="D160" s="1">
        <v>8.3696909E7</v>
      </c>
      <c r="E160" s="1" t="s">
        <v>14</v>
      </c>
      <c r="F160" s="1" t="s">
        <v>38</v>
      </c>
      <c r="G160" s="1">
        <v>79.0</v>
      </c>
      <c r="H160" s="1">
        <v>1.0</v>
      </c>
      <c r="I160" s="1" t="s">
        <v>21</v>
      </c>
      <c r="J160" s="1" t="s">
        <v>17</v>
      </c>
      <c r="K160" s="1" t="s">
        <v>44</v>
      </c>
      <c r="L160" s="1">
        <v>0.0</v>
      </c>
    </row>
    <row r="161">
      <c r="A161" s="1" t="s">
        <v>350</v>
      </c>
      <c r="B161" s="1" t="s">
        <v>351</v>
      </c>
      <c r="C161" s="2">
        <v>45057.0</v>
      </c>
      <c r="D161" s="1">
        <v>6.5158388E7</v>
      </c>
      <c r="E161" s="1" t="s">
        <v>25</v>
      </c>
      <c r="F161" s="1" t="s">
        <v>33</v>
      </c>
      <c r="G161" s="1">
        <v>113.0</v>
      </c>
      <c r="H161" s="1">
        <v>0.0</v>
      </c>
      <c r="I161" s="1" t="s">
        <v>27</v>
      </c>
      <c r="J161" s="1" t="s">
        <v>22</v>
      </c>
      <c r="K161" s="1" t="s">
        <v>44</v>
      </c>
      <c r="L161" s="1">
        <v>0.0</v>
      </c>
    </row>
    <row r="162">
      <c r="A162" s="1" t="s">
        <v>352</v>
      </c>
      <c r="B162" s="1" t="s">
        <v>353</v>
      </c>
      <c r="C162" s="2">
        <v>44999.0</v>
      </c>
      <c r="D162" s="1">
        <v>8.5267305E7</v>
      </c>
      <c r="E162" s="1" t="s">
        <v>47</v>
      </c>
      <c r="F162" s="1" t="s">
        <v>38</v>
      </c>
      <c r="G162" s="1">
        <v>36.0</v>
      </c>
      <c r="H162" s="1">
        <v>0.0</v>
      </c>
      <c r="I162" s="1" t="s">
        <v>21</v>
      </c>
      <c r="J162" s="1" t="s">
        <v>43</v>
      </c>
      <c r="K162" s="1" t="s">
        <v>30</v>
      </c>
      <c r="L162" s="1">
        <v>0.0</v>
      </c>
    </row>
    <row r="163">
      <c r="A163" s="1" t="s">
        <v>354</v>
      </c>
      <c r="B163" s="1" t="s">
        <v>355</v>
      </c>
      <c r="C163" s="2">
        <v>45144.0</v>
      </c>
      <c r="D163" s="1">
        <v>7.4734429E7</v>
      </c>
      <c r="E163" s="1" t="s">
        <v>47</v>
      </c>
      <c r="F163" s="1" t="s">
        <v>38</v>
      </c>
      <c r="G163" s="1">
        <v>88.0</v>
      </c>
      <c r="H163" s="1">
        <v>0.0</v>
      </c>
      <c r="I163" s="1" t="s">
        <v>21</v>
      </c>
      <c r="J163" s="1" t="s">
        <v>22</v>
      </c>
      <c r="K163" s="1" t="s">
        <v>30</v>
      </c>
      <c r="L163" s="1">
        <v>0.0</v>
      </c>
    </row>
    <row r="164">
      <c r="A164" s="1" t="s">
        <v>356</v>
      </c>
      <c r="B164" s="1" t="s">
        <v>357</v>
      </c>
      <c r="C164" s="2">
        <v>45221.0</v>
      </c>
      <c r="D164" s="1">
        <v>2292595.0</v>
      </c>
      <c r="E164" s="1" t="s">
        <v>14</v>
      </c>
      <c r="F164" s="1" t="s">
        <v>15</v>
      </c>
      <c r="G164" s="1">
        <v>71.0</v>
      </c>
      <c r="H164" s="1">
        <v>0.0</v>
      </c>
      <c r="I164" s="1" t="s">
        <v>21</v>
      </c>
      <c r="J164" s="1" t="s">
        <v>17</v>
      </c>
      <c r="K164" s="1" t="s">
        <v>30</v>
      </c>
      <c r="L164" s="1">
        <v>0.0</v>
      </c>
    </row>
    <row r="165">
      <c r="A165" s="1" t="s">
        <v>358</v>
      </c>
      <c r="B165" s="1" t="s">
        <v>359</v>
      </c>
      <c r="C165" s="2">
        <v>44979.0</v>
      </c>
      <c r="D165" s="1">
        <v>3.4079256E7</v>
      </c>
      <c r="E165" s="1" t="s">
        <v>47</v>
      </c>
      <c r="F165" s="1" t="s">
        <v>33</v>
      </c>
      <c r="G165" s="1">
        <v>152.0</v>
      </c>
      <c r="H165" s="1">
        <v>1.0</v>
      </c>
      <c r="I165" s="1" t="s">
        <v>34</v>
      </c>
      <c r="J165" s="1" t="s">
        <v>35</v>
      </c>
      <c r="K165" s="1" t="s">
        <v>30</v>
      </c>
      <c r="L165" s="1">
        <v>1.0</v>
      </c>
    </row>
    <row r="166">
      <c r="A166" s="1" t="s">
        <v>360</v>
      </c>
      <c r="B166" s="1" t="s">
        <v>361</v>
      </c>
      <c r="C166" s="2">
        <v>45152.0</v>
      </c>
      <c r="D166" s="1">
        <v>9.0882685E7</v>
      </c>
      <c r="E166" s="1" t="s">
        <v>25</v>
      </c>
      <c r="F166" s="1" t="s">
        <v>15</v>
      </c>
      <c r="G166" s="1">
        <v>164.0</v>
      </c>
      <c r="H166" s="1">
        <v>1.0</v>
      </c>
      <c r="I166" s="1" t="s">
        <v>27</v>
      </c>
      <c r="J166" s="1" t="s">
        <v>22</v>
      </c>
      <c r="K166" s="1" t="s">
        <v>44</v>
      </c>
      <c r="L166" s="1">
        <v>1.0</v>
      </c>
    </row>
    <row r="167">
      <c r="A167" s="1" t="s">
        <v>362</v>
      </c>
      <c r="B167" s="1" t="s">
        <v>363</v>
      </c>
      <c r="C167" s="2">
        <v>45271.0</v>
      </c>
      <c r="D167" s="1">
        <v>3.7963552E7</v>
      </c>
      <c r="E167" s="1" t="s">
        <v>14</v>
      </c>
      <c r="F167" s="1" t="s">
        <v>33</v>
      </c>
      <c r="G167" s="1">
        <v>119.0</v>
      </c>
      <c r="H167" s="1">
        <v>1.0</v>
      </c>
      <c r="I167" s="1" t="s">
        <v>21</v>
      </c>
      <c r="J167" s="1" t="s">
        <v>17</v>
      </c>
      <c r="K167" s="1" t="s">
        <v>30</v>
      </c>
      <c r="L167" s="1">
        <v>0.0</v>
      </c>
    </row>
    <row r="168">
      <c r="A168" s="1" t="s">
        <v>364</v>
      </c>
      <c r="B168" s="1" t="s">
        <v>365</v>
      </c>
      <c r="C168" s="2">
        <v>45246.0</v>
      </c>
      <c r="D168" s="1">
        <v>9.4968934E7</v>
      </c>
      <c r="E168" s="1" t="s">
        <v>14</v>
      </c>
      <c r="F168" s="1" t="s">
        <v>42</v>
      </c>
      <c r="G168" s="1">
        <v>24.0</v>
      </c>
      <c r="H168" s="1">
        <v>1.0</v>
      </c>
      <c r="I168" s="1" t="s">
        <v>21</v>
      </c>
      <c r="J168" s="1" t="s">
        <v>43</v>
      </c>
      <c r="K168" s="1" t="s">
        <v>30</v>
      </c>
      <c r="L168" s="1">
        <v>0.0</v>
      </c>
    </row>
    <row r="169">
      <c r="A169" s="1" t="s">
        <v>366</v>
      </c>
      <c r="B169" s="1" t="s">
        <v>367</v>
      </c>
      <c r="C169" s="2">
        <v>44931.0</v>
      </c>
      <c r="D169" s="1">
        <v>6.502216E7</v>
      </c>
      <c r="E169" s="1" t="s">
        <v>47</v>
      </c>
      <c r="F169" s="1" t="s">
        <v>33</v>
      </c>
      <c r="G169" s="1">
        <v>44.0</v>
      </c>
      <c r="H169" s="1">
        <v>1.0</v>
      </c>
      <c r="I169" s="1" t="s">
        <v>34</v>
      </c>
      <c r="J169" s="1" t="s">
        <v>22</v>
      </c>
      <c r="K169" s="1" t="s">
        <v>30</v>
      </c>
      <c r="L169" s="1">
        <v>0.0</v>
      </c>
    </row>
    <row r="170">
      <c r="A170" s="1" t="s">
        <v>368</v>
      </c>
      <c r="B170" s="1" t="s">
        <v>369</v>
      </c>
      <c r="C170" s="2">
        <v>45170.0</v>
      </c>
      <c r="D170" s="1">
        <v>7.3096191E7</v>
      </c>
      <c r="E170" s="1" t="s">
        <v>47</v>
      </c>
      <c r="F170" s="1" t="s">
        <v>26</v>
      </c>
      <c r="G170" s="1">
        <v>172.0</v>
      </c>
      <c r="H170" s="1">
        <v>1.0</v>
      </c>
      <c r="I170" s="1" t="s">
        <v>34</v>
      </c>
      <c r="J170" s="1" t="s">
        <v>17</v>
      </c>
      <c r="K170" s="1" t="s">
        <v>18</v>
      </c>
      <c r="L170" s="1">
        <v>0.0</v>
      </c>
    </row>
    <row r="171">
      <c r="A171" s="1" t="s">
        <v>370</v>
      </c>
      <c r="B171" s="1" t="s">
        <v>371</v>
      </c>
      <c r="C171" s="2">
        <v>45130.0</v>
      </c>
      <c r="D171" s="1">
        <v>7.4217564E7</v>
      </c>
      <c r="E171" s="1" t="s">
        <v>25</v>
      </c>
      <c r="F171" s="1" t="s">
        <v>15</v>
      </c>
      <c r="G171" s="1">
        <v>66.0</v>
      </c>
      <c r="H171" s="1">
        <v>1.0</v>
      </c>
      <c r="I171" s="1" t="s">
        <v>34</v>
      </c>
      <c r="J171" s="1" t="s">
        <v>39</v>
      </c>
      <c r="K171" s="1" t="s">
        <v>44</v>
      </c>
      <c r="L171" s="1">
        <v>1.0</v>
      </c>
    </row>
    <row r="172">
      <c r="A172" s="1" t="s">
        <v>372</v>
      </c>
      <c r="B172" s="1" t="s">
        <v>373</v>
      </c>
      <c r="C172" s="2">
        <v>45092.0</v>
      </c>
      <c r="D172" s="1">
        <v>5.5108881E7</v>
      </c>
      <c r="E172" s="1" t="s">
        <v>14</v>
      </c>
      <c r="F172" s="1" t="s">
        <v>42</v>
      </c>
      <c r="G172" s="1">
        <v>102.0</v>
      </c>
      <c r="H172" s="1">
        <v>0.0</v>
      </c>
      <c r="I172" s="1" t="s">
        <v>34</v>
      </c>
      <c r="J172" s="1" t="s">
        <v>39</v>
      </c>
      <c r="K172" s="1" t="s">
        <v>44</v>
      </c>
      <c r="L172" s="1">
        <v>0.0</v>
      </c>
    </row>
    <row r="173">
      <c r="A173" s="1" t="s">
        <v>374</v>
      </c>
      <c r="B173" s="1" t="s">
        <v>375</v>
      </c>
      <c r="C173" s="2">
        <v>45190.0</v>
      </c>
      <c r="D173" s="1">
        <v>7.7010292E7</v>
      </c>
      <c r="E173" s="1" t="s">
        <v>14</v>
      </c>
      <c r="F173" s="1" t="s">
        <v>26</v>
      </c>
      <c r="G173" s="1">
        <v>177.0</v>
      </c>
      <c r="H173" s="1">
        <v>0.0</v>
      </c>
      <c r="I173" s="1" t="s">
        <v>34</v>
      </c>
      <c r="J173" s="1" t="s">
        <v>39</v>
      </c>
      <c r="K173" s="1" t="s">
        <v>44</v>
      </c>
      <c r="L173" s="1">
        <v>0.0</v>
      </c>
    </row>
    <row r="174">
      <c r="A174" s="1" t="s">
        <v>376</v>
      </c>
      <c r="B174" s="1" t="s">
        <v>377</v>
      </c>
      <c r="C174" s="2">
        <v>45077.0</v>
      </c>
      <c r="D174" s="1">
        <v>1.6442474E7</v>
      </c>
      <c r="E174" s="1" t="s">
        <v>25</v>
      </c>
      <c r="F174" s="1" t="s">
        <v>26</v>
      </c>
      <c r="G174" s="1">
        <v>127.0</v>
      </c>
      <c r="H174" s="1">
        <v>0.0</v>
      </c>
      <c r="I174" s="1" t="s">
        <v>27</v>
      </c>
      <c r="J174" s="1" t="s">
        <v>22</v>
      </c>
      <c r="K174" s="1" t="s">
        <v>44</v>
      </c>
      <c r="L174" s="1">
        <v>0.0</v>
      </c>
    </row>
    <row r="175">
      <c r="A175" s="1" t="s">
        <v>378</v>
      </c>
      <c r="B175" s="1" t="s">
        <v>379</v>
      </c>
      <c r="C175" s="2">
        <v>45051.0</v>
      </c>
      <c r="D175" s="1">
        <v>7.7659552E7</v>
      </c>
      <c r="E175" s="1" t="s">
        <v>25</v>
      </c>
      <c r="F175" s="1" t="s">
        <v>15</v>
      </c>
      <c r="G175" s="1">
        <v>149.0</v>
      </c>
      <c r="H175" s="1">
        <v>1.0</v>
      </c>
      <c r="I175" s="1" t="s">
        <v>16</v>
      </c>
      <c r="J175" s="1" t="s">
        <v>35</v>
      </c>
      <c r="K175" s="1" t="s">
        <v>44</v>
      </c>
      <c r="L175" s="1">
        <v>0.0</v>
      </c>
    </row>
    <row r="176">
      <c r="A176" s="1" t="s">
        <v>380</v>
      </c>
      <c r="B176" s="1" t="s">
        <v>381</v>
      </c>
      <c r="C176" s="2">
        <v>45225.0</v>
      </c>
      <c r="D176" s="1">
        <v>8.2618759E7</v>
      </c>
      <c r="E176" s="1" t="s">
        <v>25</v>
      </c>
      <c r="F176" s="1" t="s">
        <v>26</v>
      </c>
      <c r="G176" s="1">
        <v>85.0</v>
      </c>
      <c r="H176" s="1">
        <v>1.0</v>
      </c>
      <c r="I176" s="1" t="s">
        <v>16</v>
      </c>
      <c r="J176" s="1" t="s">
        <v>35</v>
      </c>
      <c r="K176" s="1" t="s">
        <v>30</v>
      </c>
      <c r="L176" s="1">
        <v>0.0</v>
      </c>
    </row>
    <row r="177">
      <c r="A177" s="1" t="s">
        <v>382</v>
      </c>
      <c r="B177" s="1" t="s">
        <v>383</v>
      </c>
      <c r="C177" s="2">
        <v>45114.0</v>
      </c>
      <c r="D177" s="1">
        <v>7.1131542E7</v>
      </c>
      <c r="E177" s="1" t="s">
        <v>47</v>
      </c>
      <c r="F177" s="1" t="s">
        <v>38</v>
      </c>
      <c r="G177" s="1">
        <v>139.0</v>
      </c>
      <c r="H177" s="1">
        <v>1.0</v>
      </c>
      <c r="I177" s="1" t="s">
        <v>16</v>
      </c>
      <c r="J177" s="1" t="s">
        <v>35</v>
      </c>
      <c r="K177" s="1" t="s">
        <v>18</v>
      </c>
      <c r="L177" s="1">
        <v>0.0</v>
      </c>
    </row>
    <row r="178">
      <c r="A178" s="1" t="s">
        <v>384</v>
      </c>
      <c r="B178" s="1" t="s">
        <v>385</v>
      </c>
      <c r="C178" s="2">
        <v>45150.0</v>
      </c>
      <c r="D178" s="1">
        <v>2.936196E7</v>
      </c>
      <c r="E178" s="1" t="s">
        <v>14</v>
      </c>
      <c r="F178" s="1" t="s">
        <v>15</v>
      </c>
      <c r="G178" s="1">
        <v>50.0</v>
      </c>
      <c r="H178" s="1">
        <v>1.0</v>
      </c>
      <c r="I178" s="1" t="s">
        <v>21</v>
      </c>
      <c r="J178" s="1" t="s">
        <v>17</v>
      </c>
      <c r="K178" s="1" t="s">
        <v>30</v>
      </c>
      <c r="L178" s="1">
        <v>0.0</v>
      </c>
    </row>
    <row r="179">
      <c r="A179" s="1" t="s">
        <v>386</v>
      </c>
      <c r="B179" s="1" t="s">
        <v>387</v>
      </c>
      <c r="C179" s="2">
        <v>45237.0</v>
      </c>
      <c r="D179" s="1">
        <v>8.0352013E7</v>
      </c>
      <c r="E179" s="1" t="s">
        <v>47</v>
      </c>
      <c r="F179" s="1" t="s">
        <v>42</v>
      </c>
      <c r="G179" s="1">
        <v>163.0</v>
      </c>
      <c r="H179" s="1">
        <v>1.0</v>
      </c>
      <c r="I179" s="1" t="s">
        <v>16</v>
      </c>
      <c r="J179" s="1" t="s">
        <v>22</v>
      </c>
      <c r="K179" s="1" t="s">
        <v>18</v>
      </c>
      <c r="L179" s="1">
        <v>0.0</v>
      </c>
    </row>
    <row r="180">
      <c r="A180" s="1" t="s">
        <v>388</v>
      </c>
      <c r="B180" s="1" t="s">
        <v>389</v>
      </c>
      <c r="C180" s="2">
        <v>45009.0</v>
      </c>
      <c r="D180" s="1">
        <v>6.805199E7</v>
      </c>
      <c r="E180" s="1" t="s">
        <v>47</v>
      </c>
      <c r="F180" s="1" t="s">
        <v>38</v>
      </c>
      <c r="G180" s="1">
        <v>81.0</v>
      </c>
      <c r="H180" s="1">
        <v>1.0</v>
      </c>
      <c r="I180" s="1" t="s">
        <v>27</v>
      </c>
      <c r="J180" s="1" t="s">
        <v>22</v>
      </c>
      <c r="K180" s="1" t="s">
        <v>18</v>
      </c>
      <c r="L180" s="1">
        <v>0.0</v>
      </c>
    </row>
    <row r="181">
      <c r="A181" s="1" t="s">
        <v>390</v>
      </c>
      <c r="B181" s="1" t="s">
        <v>391</v>
      </c>
      <c r="C181" s="2">
        <v>45206.0</v>
      </c>
      <c r="D181" s="1">
        <v>2.1498701E7</v>
      </c>
      <c r="E181" s="1" t="s">
        <v>25</v>
      </c>
      <c r="F181" s="1" t="s">
        <v>33</v>
      </c>
      <c r="G181" s="1">
        <v>128.0</v>
      </c>
      <c r="H181" s="1">
        <v>1.0</v>
      </c>
      <c r="I181" s="1" t="s">
        <v>27</v>
      </c>
      <c r="J181" s="1" t="s">
        <v>39</v>
      </c>
      <c r="K181" s="1" t="s">
        <v>44</v>
      </c>
      <c r="L181" s="1">
        <v>0.0</v>
      </c>
    </row>
    <row r="182">
      <c r="A182" s="1" t="s">
        <v>392</v>
      </c>
      <c r="B182" s="1" t="s">
        <v>393</v>
      </c>
      <c r="C182" s="2">
        <v>45010.0</v>
      </c>
      <c r="D182" s="1">
        <v>8.9120347E7</v>
      </c>
      <c r="E182" s="1" t="s">
        <v>25</v>
      </c>
      <c r="F182" s="1" t="s">
        <v>38</v>
      </c>
      <c r="G182" s="1">
        <v>166.0</v>
      </c>
      <c r="H182" s="1">
        <v>1.0</v>
      </c>
      <c r="I182" s="1" t="s">
        <v>34</v>
      </c>
      <c r="J182" s="1" t="s">
        <v>17</v>
      </c>
      <c r="K182" s="1" t="s">
        <v>18</v>
      </c>
      <c r="L182" s="1">
        <v>0.0</v>
      </c>
    </row>
    <row r="183">
      <c r="A183" s="1" t="s">
        <v>394</v>
      </c>
      <c r="B183" s="1" t="s">
        <v>395</v>
      </c>
      <c r="C183" s="2">
        <v>45208.0</v>
      </c>
      <c r="D183" s="1">
        <v>1.5253095E7</v>
      </c>
      <c r="E183" s="1" t="s">
        <v>14</v>
      </c>
      <c r="F183" s="1" t="s">
        <v>26</v>
      </c>
      <c r="G183" s="1">
        <v>95.0</v>
      </c>
      <c r="H183" s="1">
        <v>1.0</v>
      </c>
      <c r="I183" s="1" t="s">
        <v>16</v>
      </c>
      <c r="J183" s="1" t="s">
        <v>35</v>
      </c>
      <c r="K183" s="1" t="s">
        <v>18</v>
      </c>
      <c r="L183" s="1">
        <v>0.0</v>
      </c>
    </row>
    <row r="184">
      <c r="A184" s="1" t="s">
        <v>396</v>
      </c>
      <c r="B184" s="1" t="s">
        <v>397</v>
      </c>
      <c r="C184" s="2">
        <v>45240.0</v>
      </c>
      <c r="D184" s="1">
        <v>6.6116981E7</v>
      </c>
      <c r="E184" s="1" t="s">
        <v>14</v>
      </c>
      <c r="F184" s="1" t="s">
        <v>26</v>
      </c>
      <c r="G184" s="1">
        <v>151.0</v>
      </c>
      <c r="H184" s="1">
        <v>1.0</v>
      </c>
      <c r="I184" s="1" t="s">
        <v>21</v>
      </c>
      <c r="J184" s="1" t="s">
        <v>35</v>
      </c>
      <c r="K184" s="1" t="s">
        <v>30</v>
      </c>
      <c r="L184" s="1">
        <v>1.0</v>
      </c>
    </row>
    <row r="185">
      <c r="A185" s="1" t="s">
        <v>398</v>
      </c>
      <c r="B185" s="1" t="s">
        <v>399</v>
      </c>
      <c r="C185" s="2">
        <v>45124.0</v>
      </c>
      <c r="D185" s="1">
        <v>8.1089871E7</v>
      </c>
      <c r="E185" s="1" t="s">
        <v>14</v>
      </c>
      <c r="F185" s="1" t="s">
        <v>42</v>
      </c>
      <c r="G185" s="1">
        <v>139.0</v>
      </c>
      <c r="H185" s="1">
        <v>0.0</v>
      </c>
      <c r="I185" s="1" t="s">
        <v>27</v>
      </c>
      <c r="J185" s="1" t="s">
        <v>43</v>
      </c>
      <c r="K185" s="1" t="s">
        <v>44</v>
      </c>
      <c r="L185" s="1">
        <v>1.0</v>
      </c>
    </row>
    <row r="186">
      <c r="A186" s="1" t="s">
        <v>400</v>
      </c>
      <c r="B186" s="1" t="s">
        <v>401</v>
      </c>
      <c r="C186" s="2">
        <v>45272.0</v>
      </c>
      <c r="D186" s="1">
        <v>1.5369482E7</v>
      </c>
      <c r="E186" s="1" t="s">
        <v>25</v>
      </c>
      <c r="F186" s="1" t="s">
        <v>15</v>
      </c>
      <c r="G186" s="1">
        <v>125.0</v>
      </c>
      <c r="H186" s="1">
        <v>1.0</v>
      </c>
      <c r="I186" s="1" t="s">
        <v>34</v>
      </c>
      <c r="J186" s="1" t="s">
        <v>35</v>
      </c>
      <c r="K186" s="1" t="s">
        <v>44</v>
      </c>
      <c r="L186" s="1">
        <v>1.0</v>
      </c>
    </row>
    <row r="187">
      <c r="A187" s="1" t="s">
        <v>402</v>
      </c>
      <c r="B187" s="1" t="s">
        <v>403</v>
      </c>
      <c r="C187" s="2">
        <v>45228.0</v>
      </c>
      <c r="D187" s="1">
        <v>9.0026935E7</v>
      </c>
      <c r="E187" s="1" t="s">
        <v>47</v>
      </c>
      <c r="F187" s="1" t="s">
        <v>42</v>
      </c>
      <c r="G187" s="1">
        <v>135.0</v>
      </c>
      <c r="H187" s="1">
        <v>1.0</v>
      </c>
      <c r="I187" s="1" t="s">
        <v>21</v>
      </c>
      <c r="J187" s="1" t="s">
        <v>39</v>
      </c>
      <c r="K187" s="1" t="s">
        <v>18</v>
      </c>
      <c r="L187" s="1">
        <v>0.0</v>
      </c>
    </row>
    <row r="188">
      <c r="A188" s="1" t="s">
        <v>404</v>
      </c>
      <c r="B188" s="1" t="s">
        <v>405</v>
      </c>
      <c r="C188" s="2">
        <v>45015.0</v>
      </c>
      <c r="D188" s="1">
        <v>7.2954409E7</v>
      </c>
      <c r="E188" s="1" t="s">
        <v>47</v>
      </c>
      <c r="F188" s="1" t="s">
        <v>33</v>
      </c>
      <c r="G188" s="1">
        <v>159.0</v>
      </c>
      <c r="H188" s="1">
        <v>1.0</v>
      </c>
      <c r="I188" s="1" t="s">
        <v>16</v>
      </c>
      <c r="J188" s="1" t="s">
        <v>43</v>
      </c>
      <c r="K188" s="1" t="s">
        <v>30</v>
      </c>
      <c r="L188" s="1">
        <v>0.0</v>
      </c>
    </row>
    <row r="189">
      <c r="A189" s="1" t="s">
        <v>406</v>
      </c>
      <c r="B189" s="1" t="s">
        <v>407</v>
      </c>
      <c r="C189" s="2">
        <v>45242.0</v>
      </c>
      <c r="D189" s="1">
        <v>1398168.0</v>
      </c>
      <c r="E189" s="1" t="s">
        <v>47</v>
      </c>
      <c r="F189" s="1" t="s">
        <v>42</v>
      </c>
      <c r="G189" s="1">
        <v>30.0</v>
      </c>
      <c r="H189" s="1">
        <v>0.0</v>
      </c>
      <c r="I189" s="1" t="s">
        <v>21</v>
      </c>
      <c r="J189" s="1" t="s">
        <v>35</v>
      </c>
      <c r="K189" s="1" t="s">
        <v>44</v>
      </c>
      <c r="L189" s="1">
        <v>0.0</v>
      </c>
    </row>
    <row r="190">
      <c r="A190" s="1" t="s">
        <v>408</v>
      </c>
      <c r="B190" s="1" t="s">
        <v>409</v>
      </c>
      <c r="C190" s="2">
        <v>45081.0</v>
      </c>
      <c r="D190" s="1">
        <v>5154579.0</v>
      </c>
      <c r="E190" s="1" t="s">
        <v>25</v>
      </c>
      <c r="F190" s="1" t="s">
        <v>15</v>
      </c>
      <c r="G190" s="1">
        <v>18.0</v>
      </c>
      <c r="H190" s="1">
        <v>1.0</v>
      </c>
      <c r="I190" s="1" t="s">
        <v>21</v>
      </c>
      <c r="J190" s="1" t="s">
        <v>35</v>
      </c>
      <c r="K190" s="1" t="s">
        <v>18</v>
      </c>
      <c r="L190" s="1">
        <v>0.0</v>
      </c>
    </row>
    <row r="191">
      <c r="A191" s="1" t="s">
        <v>410</v>
      </c>
      <c r="B191" s="1" t="s">
        <v>411</v>
      </c>
      <c r="C191" s="2">
        <v>45047.0</v>
      </c>
      <c r="D191" s="1">
        <v>8495853.0</v>
      </c>
      <c r="E191" s="1" t="s">
        <v>14</v>
      </c>
      <c r="F191" s="1" t="s">
        <v>42</v>
      </c>
      <c r="G191" s="1">
        <v>67.0</v>
      </c>
      <c r="H191" s="1">
        <v>0.0</v>
      </c>
      <c r="I191" s="1" t="s">
        <v>16</v>
      </c>
      <c r="J191" s="1" t="s">
        <v>39</v>
      </c>
      <c r="K191" s="1" t="s">
        <v>30</v>
      </c>
      <c r="L191" s="1">
        <v>0.0</v>
      </c>
    </row>
    <row r="192">
      <c r="A192" s="1" t="s">
        <v>412</v>
      </c>
      <c r="B192" s="1" t="s">
        <v>413</v>
      </c>
      <c r="C192" s="2">
        <v>45044.0</v>
      </c>
      <c r="D192" s="1">
        <v>5.192245E7</v>
      </c>
      <c r="E192" s="1" t="s">
        <v>47</v>
      </c>
      <c r="F192" s="1" t="s">
        <v>33</v>
      </c>
      <c r="G192" s="1">
        <v>62.0</v>
      </c>
      <c r="H192" s="1">
        <v>1.0</v>
      </c>
      <c r="I192" s="1" t="s">
        <v>21</v>
      </c>
      <c r="J192" s="1" t="s">
        <v>43</v>
      </c>
      <c r="K192" s="1" t="s">
        <v>18</v>
      </c>
      <c r="L192" s="1">
        <v>0.0</v>
      </c>
    </row>
    <row r="193">
      <c r="A193" s="1" t="s">
        <v>414</v>
      </c>
      <c r="B193" s="1" t="s">
        <v>415</v>
      </c>
      <c r="C193" s="2">
        <v>45048.0</v>
      </c>
      <c r="D193" s="1">
        <v>2.6517629E7</v>
      </c>
      <c r="E193" s="1" t="s">
        <v>47</v>
      </c>
      <c r="F193" s="1" t="s">
        <v>33</v>
      </c>
      <c r="G193" s="1">
        <v>42.0</v>
      </c>
      <c r="H193" s="1">
        <v>0.0</v>
      </c>
      <c r="I193" s="1" t="s">
        <v>16</v>
      </c>
      <c r="J193" s="1" t="s">
        <v>17</v>
      </c>
      <c r="K193" s="1" t="s">
        <v>30</v>
      </c>
      <c r="L193" s="1">
        <v>0.0</v>
      </c>
    </row>
    <row r="194">
      <c r="A194" s="1" t="s">
        <v>416</v>
      </c>
      <c r="B194" s="1" t="s">
        <v>417</v>
      </c>
      <c r="C194" s="2">
        <v>45213.0</v>
      </c>
      <c r="D194" s="1">
        <v>8.5837638E7</v>
      </c>
      <c r="E194" s="1" t="s">
        <v>14</v>
      </c>
      <c r="F194" s="1" t="s">
        <v>42</v>
      </c>
      <c r="G194" s="1">
        <v>178.0</v>
      </c>
      <c r="H194" s="1">
        <v>1.0</v>
      </c>
      <c r="I194" s="1" t="s">
        <v>21</v>
      </c>
      <c r="J194" s="1" t="s">
        <v>35</v>
      </c>
      <c r="K194" s="1" t="s">
        <v>30</v>
      </c>
      <c r="L194" s="1">
        <v>0.0</v>
      </c>
    </row>
    <row r="195">
      <c r="A195" s="1" t="s">
        <v>418</v>
      </c>
      <c r="B195" s="1" t="s">
        <v>419</v>
      </c>
      <c r="C195" s="2">
        <v>45069.0</v>
      </c>
      <c r="D195" s="1">
        <v>2.5987942E7</v>
      </c>
      <c r="E195" s="1" t="s">
        <v>25</v>
      </c>
      <c r="F195" s="1" t="s">
        <v>38</v>
      </c>
      <c r="G195" s="1">
        <v>154.0</v>
      </c>
      <c r="H195" s="1">
        <v>0.0</v>
      </c>
      <c r="I195" s="1" t="s">
        <v>16</v>
      </c>
      <c r="J195" s="1" t="s">
        <v>17</v>
      </c>
      <c r="K195" s="1" t="s">
        <v>44</v>
      </c>
      <c r="L195" s="1">
        <v>0.0</v>
      </c>
    </row>
    <row r="196">
      <c r="A196" s="1" t="s">
        <v>420</v>
      </c>
      <c r="B196" s="1" t="s">
        <v>421</v>
      </c>
      <c r="C196" s="2">
        <v>45254.0</v>
      </c>
      <c r="D196" s="1">
        <v>1.2353033E7</v>
      </c>
      <c r="E196" s="1" t="s">
        <v>47</v>
      </c>
      <c r="F196" s="1" t="s">
        <v>33</v>
      </c>
      <c r="G196" s="1">
        <v>112.0</v>
      </c>
      <c r="H196" s="1">
        <v>1.0</v>
      </c>
      <c r="I196" s="1" t="s">
        <v>34</v>
      </c>
      <c r="J196" s="1" t="s">
        <v>39</v>
      </c>
      <c r="K196" s="1" t="s">
        <v>18</v>
      </c>
      <c r="L196" s="1">
        <v>0.0</v>
      </c>
    </row>
    <row r="197">
      <c r="A197" s="1" t="s">
        <v>422</v>
      </c>
      <c r="B197" s="1" t="s">
        <v>423</v>
      </c>
      <c r="C197" s="2">
        <v>45023.0</v>
      </c>
      <c r="D197" s="1">
        <v>8.1981052E7</v>
      </c>
      <c r="E197" s="1" t="s">
        <v>25</v>
      </c>
      <c r="F197" s="1" t="s">
        <v>26</v>
      </c>
      <c r="G197" s="1">
        <v>74.0</v>
      </c>
      <c r="H197" s="1">
        <v>0.0</v>
      </c>
      <c r="I197" s="1" t="s">
        <v>16</v>
      </c>
      <c r="J197" s="1" t="s">
        <v>43</v>
      </c>
      <c r="K197" s="1" t="s">
        <v>18</v>
      </c>
      <c r="L197" s="1">
        <v>0.0</v>
      </c>
    </row>
    <row r="198">
      <c r="A198" s="1" t="s">
        <v>424</v>
      </c>
      <c r="B198" s="1" t="s">
        <v>425</v>
      </c>
      <c r="C198" s="2">
        <v>45116.0</v>
      </c>
      <c r="D198" s="1">
        <v>7.9092272E7</v>
      </c>
      <c r="E198" s="1" t="s">
        <v>47</v>
      </c>
      <c r="F198" s="1" t="s">
        <v>33</v>
      </c>
      <c r="G198" s="1">
        <v>54.0</v>
      </c>
      <c r="H198" s="1">
        <v>1.0</v>
      </c>
      <c r="I198" s="1" t="s">
        <v>16</v>
      </c>
      <c r="J198" s="1" t="s">
        <v>43</v>
      </c>
      <c r="K198" s="1" t="s">
        <v>44</v>
      </c>
      <c r="L198" s="1">
        <v>0.0</v>
      </c>
    </row>
    <row r="199">
      <c r="A199" s="1" t="s">
        <v>426</v>
      </c>
      <c r="B199" s="1" t="s">
        <v>427</v>
      </c>
      <c r="C199" s="2">
        <v>44928.0</v>
      </c>
      <c r="D199" s="1">
        <v>1.9581439E7</v>
      </c>
      <c r="E199" s="1" t="s">
        <v>14</v>
      </c>
      <c r="F199" s="1" t="s">
        <v>38</v>
      </c>
      <c r="G199" s="1">
        <v>30.0</v>
      </c>
      <c r="H199" s="1">
        <v>1.0</v>
      </c>
      <c r="I199" s="1" t="s">
        <v>16</v>
      </c>
      <c r="J199" s="1" t="s">
        <v>43</v>
      </c>
      <c r="K199" s="1" t="s">
        <v>18</v>
      </c>
      <c r="L199" s="1">
        <v>0.0</v>
      </c>
    </row>
    <row r="200">
      <c r="A200" s="1" t="s">
        <v>428</v>
      </c>
      <c r="B200" s="1" t="s">
        <v>429</v>
      </c>
      <c r="C200" s="2">
        <v>45045.0</v>
      </c>
      <c r="D200" s="1">
        <v>8.0021377E7</v>
      </c>
      <c r="E200" s="1" t="s">
        <v>14</v>
      </c>
      <c r="F200" s="1" t="s">
        <v>33</v>
      </c>
      <c r="G200" s="1">
        <v>17.0</v>
      </c>
      <c r="H200" s="1">
        <v>1.0</v>
      </c>
      <c r="I200" s="1" t="s">
        <v>16</v>
      </c>
      <c r="J200" s="1" t="s">
        <v>35</v>
      </c>
      <c r="K200" s="1" t="s">
        <v>18</v>
      </c>
      <c r="L200" s="1">
        <v>0.0</v>
      </c>
    </row>
    <row r="201">
      <c r="A201" s="1" t="s">
        <v>430</v>
      </c>
      <c r="B201" s="1" t="s">
        <v>431</v>
      </c>
      <c r="C201" s="2">
        <v>45098.0</v>
      </c>
      <c r="D201" s="1">
        <v>2.2128911E7</v>
      </c>
      <c r="E201" s="1" t="s">
        <v>14</v>
      </c>
      <c r="F201" s="1" t="s">
        <v>42</v>
      </c>
      <c r="G201" s="1">
        <v>57.0</v>
      </c>
      <c r="H201" s="1">
        <v>1.0</v>
      </c>
      <c r="I201" s="1" t="s">
        <v>34</v>
      </c>
      <c r="J201" s="1" t="s">
        <v>39</v>
      </c>
      <c r="K201" s="1" t="s">
        <v>18</v>
      </c>
      <c r="L201" s="1">
        <v>0.0</v>
      </c>
    </row>
    <row r="202">
      <c r="A202" s="1" t="s">
        <v>432</v>
      </c>
      <c r="B202" s="1" t="s">
        <v>433</v>
      </c>
      <c r="C202" s="2">
        <v>44942.0</v>
      </c>
      <c r="D202" s="1">
        <v>9494398.0</v>
      </c>
      <c r="E202" s="1" t="s">
        <v>14</v>
      </c>
      <c r="F202" s="1" t="s">
        <v>26</v>
      </c>
      <c r="G202" s="1">
        <v>75.0</v>
      </c>
      <c r="H202" s="1">
        <v>0.0</v>
      </c>
      <c r="I202" s="1" t="s">
        <v>27</v>
      </c>
      <c r="J202" s="1" t="s">
        <v>17</v>
      </c>
      <c r="K202" s="1" t="s">
        <v>18</v>
      </c>
      <c r="L202" s="1">
        <v>0.0</v>
      </c>
    </row>
    <row r="203">
      <c r="A203" s="1" t="s">
        <v>434</v>
      </c>
      <c r="B203" s="1" t="s">
        <v>435</v>
      </c>
      <c r="C203" s="2">
        <v>45251.0</v>
      </c>
      <c r="D203" s="1">
        <v>3.9125194E7</v>
      </c>
      <c r="E203" s="1" t="s">
        <v>14</v>
      </c>
      <c r="F203" s="1" t="s">
        <v>15</v>
      </c>
      <c r="G203" s="1">
        <v>78.0</v>
      </c>
      <c r="H203" s="1">
        <v>1.0</v>
      </c>
      <c r="I203" s="1" t="s">
        <v>21</v>
      </c>
      <c r="J203" s="1" t="s">
        <v>17</v>
      </c>
      <c r="K203" s="1" t="s">
        <v>44</v>
      </c>
      <c r="L203" s="1">
        <v>0.0</v>
      </c>
    </row>
    <row r="204">
      <c r="A204" s="1" t="s">
        <v>436</v>
      </c>
      <c r="B204" s="1" t="s">
        <v>437</v>
      </c>
      <c r="C204" s="2">
        <v>45129.0</v>
      </c>
      <c r="D204" s="1">
        <v>1.6122895E7</v>
      </c>
      <c r="E204" s="1" t="s">
        <v>47</v>
      </c>
      <c r="F204" s="1" t="s">
        <v>26</v>
      </c>
      <c r="G204" s="1">
        <v>143.0</v>
      </c>
      <c r="H204" s="1">
        <v>0.0</v>
      </c>
      <c r="I204" s="1" t="s">
        <v>34</v>
      </c>
      <c r="J204" s="1" t="s">
        <v>39</v>
      </c>
      <c r="K204" s="1" t="s">
        <v>30</v>
      </c>
      <c r="L204" s="1">
        <v>0.0</v>
      </c>
    </row>
    <row r="205">
      <c r="A205" s="1" t="s">
        <v>438</v>
      </c>
      <c r="B205" s="1" t="s">
        <v>439</v>
      </c>
      <c r="C205" s="2">
        <v>45012.0</v>
      </c>
      <c r="D205" s="1">
        <v>8.132248E7</v>
      </c>
      <c r="E205" s="1" t="s">
        <v>47</v>
      </c>
      <c r="F205" s="1" t="s">
        <v>26</v>
      </c>
      <c r="G205" s="1">
        <v>77.0</v>
      </c>
      <c r="H205" s="1">
        <v>0.0</v>
      </c>
      <c r="I205" s="1" t="s">
        <v>21</v>
      </c>
      <c r="J205" s="1" t="s">
        <v>43</v>
      </c>
      <c r="K205" s="1" t="s">
        <v>30</v>
      </c>
      <c r="L205" s="1">
        <v>0.0</v>
      </c>
    </row>
    <row r="206">
      <c r="A206" s="1" t="s">
        <v>440</v>
      </c>
      <c r="B206" s="1" t="s">
        <v>441</v>
      </c>
      <c r="C206" s="2">
        <v>45094.0</v>
      </c>
      <c r="D206" s="1">
        <v>5.9930563E7</v>
      </c>
      <c r="E206" s="1" t="s">
        <v>14</v>
      </c>
      <c r="F206" s="1" t="s">
        <v>38</v>
      </c>
      <c r="G206" s="1">
        <v>149.0</v>
      </c>
      <c r="H206" s="1">
        <v>1.0</v>
      </c>
      <c r="I206" s="1" t="s">
        <v>16</v>
      </c>
      <c r="J206" s="1" t="s">
        <v>39</v>
      </c>
      <c r="K206" s="1" t="s">
        <v>18</v>
      </c>
      <c r="L206" s="1">
        <v>0.0</v>
      </c>
    </row>
    <row r="207">
      <c r="A207" s="1" t="s">
        <v>442</v>
      </c>
      <c r="B207" s="1" t="s">
        <v>443</v>
      </c>
      <c r="C207" s="2">
        <v>45033.0</v>
      </c>
      <c r="D207" s="1">
        <v>4.4777616E7</v>
      </c>
      <c r="E207" s="1" t="s">
        <v>47</v>
      </c>
      <c r="F207" s="1" t="s">
        <v>33</v>
      </c>
      <c r="G207" s="1">
        <v>100.0</v>
      </c>
      <c r="H207" s="1">
        <v>1.0</v>
      </c>
      <c r="I207" s="1" t="s">
        <v>21</v>
      </c>
      <c r="J207" s="1" t="s">
        <v>22</v>
      </c>
      <c r="K207" s="1" t="s">
        <v>18</v>
      </c>
      <c r="L207" s="1">
        <v>0.0</v>
      </c>
    </row>
    <row r="208">
      <c r="A208" s="1" t="s">
        <v>444</v>
      </c>
      <c r="B208" s="1" t="s">
        <v>445</v>
      </c>
      <c r="C208" s="2">
        <v>45021.0</v>
      </c>
      <c r="D208" s="1">
        <v>1.2813087E7</v>
      </c>
      <c r="E208" s="1" t="s">
        <v>47</v>
      </c>
      <c r="F208" s="1" t="s">
        <v>26</v>
      </c>
      <c r="G208" s="1">
        <v>99.0</v>
      </c>
      <c r="H208" s="1">
        <v>1.0</v>
      </c>
      <c r="I208" s="1" t="s">
        <v>34</v>
      </c>
      <c r="J208" s="1" t="s">
        <v>39</v>
      </c>
      <c r="K208" s="1" t="s">
        <v>44</v>
      </c>
      <c r="L208" s="1">
        <v>0.0</v>
      </c>
    </row>
    <row r="209">
      <c r="A209" s="1" t="s">
        <v>446</v>
      </c>
      <c r="B209" s="1" t="s">
        <v>447</v>
      </c>
      <c r="C209" s="2">
        <v>45183.0</v>
      </c>
      <c r="D209" s="1">
        <v>9.1165152E7</v>
      </c>
      <c r="E209" s="1" t="s">
        <v>14</v>
      </c>
      <c r="F209" s="1" t="s">
        <v>42</v>
      </c>
      <c r="G209" s="1">
        <v>43.0</v>
      </c>
      <c r="H209" s="1">
        <v>1.0</v>
      </c>
      <c r="I209" s="1" t="s">
        <v>21</v>
      </c>
      <c r="J209" s="1" t="s">
        <v>35</v>
      </c>
      <c r="K209" s="1" t="s">
        <v>30</v>
      </c>
      <c r="L209" s="1">
        <v>0.0</v>
      </c>
    </row>
    <row r="210">
      <c r="A210" s="1" t="s">
        <v>448</v>
      </c>
      <c r="B210" s="1" t="s">
        <v>449</v>
      </c>
      <c r="C210" s="2">
        <v>45008.0</v>
      </c>
      <c r="D210" s="1">
        <v>7.9673808E7</v>
      </c>
      <c r="E210" s="1" t="s">
        <v>25</v>
      </c>
      <c r="F210" s="1" t="s">
        <v>15</v>
      </c>
      <c r="G210" s="1">
        <v>11.0</v>
      </c>
      <c r="H210" s="1">
        <v>0.0</v>
      </c>
      <c r="I210" s="1" t="s">
        <v>16</v>
      </c>
      <c r="J210" s="1" t="s">
        <v>39</v>
      </c>
      <c r="K210" s="1" t="s">
        <v>30</v>
      </c>
      <c r="L210" s="1">
        <v>0.0</v>
      </c>
    </row>
    <row r="211">
      <c r="A211" s="1" t="s">
        <v>450</v>
      </c>
      <c r="B211" s="1" t="s">
        <v>451</v>
      </c>
      <c r="C211" s="2">
        <v>45113.0</v>
      </c>
      <c r="D211" s="1">
        <v>6.7347872E7</v>
      </c>
      <c r="E211" s="1" t="s">
        <v>47</v>
      </c>
      <c r="F211" s="1" t="s">
        <v>15</v>
      </c>
      <c r="G211" s="1">
        <v>124.0</v>
      </c>
      <c r="H211" s="1">
        <v>1.0</v>
      </c>
      <c r="I211" s="1" t="s">
        <v>21</v>
      </c>
      <c r="J211" s="1" t="s">
        <v>35</v>
      </c>
      <c r="K211" s="1" t="s">
        <v>30</v>
      </c>
      <c r="L211" s="1">
        <v>0.0</v>
      </c>
    </row>
    <row r="212">
      <c r="A212" s="1" t="s">
        <v>452</v>
      </c>
      <c r="B212" s="1" t="s">
        <v>453</v>
      </c>
      <c r="C212" s="2">
        <v>44939.0</v>
      </c>
      <c r="D212" s="1">
        <v>5.0630486E7</v>
      </c>
      <c r="E212" s="1" t="s">
        <v>25</v>
      </c>
      <c r="F212" s="1" t="s">
        <v>33</v>
      </c>
      <c r="G212" s="1">
        <v>6.0</v>
      </c>
      <c r="H212" s="1">
        <v>1.0</v>
      </c>
      <c r="I212" s="1" t="s">
        <v>16</v>
      </c>
      <c r="J212" s="1" t="s">
        <v>43</v>
      </c>
      <c r="K212" s="1" t="s">
        <v>44</v>
      </c>
      <c r="L212" s="1">
        <v>0.0</v>
      </c>
    </row>
    <row r="213">
      <c r="A213" s="1" t="s">
        <v>454</v>
      </c>
      <c r="B213" s="1" t="s">
        <v>455</v>
      </c>
      <c r="C213" s="2">
        <v>45146.0</v>
      </c>
      <c r="D213" s="1">
        <v>2.9665419E7</v>
      </c>
      <c r="E213" s="1" t="s">
        <v>14</v>
      </c>
      <c r="F213" s="1" t="s">
        <v>26</v>
      </c>
      <c r="G213" s="1">
        <v>116.0</v>
      </c>
      <c r="H213" s="1">
        <v>1.0</v>
      </c>
      <c r="I213" s="1" t="s">
        <v>27</v>
      </c>
      <c r="J213" s="1" t="s">
        <v>35</v>
      </c>
      <c r="K213" s="1" t="s">
        <v>30</v>
      </c>
      <c r="L213" s="1">
        <v>0.0</v>
      </c>
    </row>
    <row r="214">
      <c r="A214" s="1" t="s">
        <v>456</v>
      </c>
      <c r="B214" s="1" t="s">
        <v>457</v>
      </c>
      <c r="C214" s="2">
        <v>45226.0</v>
      </c>
      <c r="D214" s="1">
        <v>4.4365578E7</v>
      </c>
      <c r="E214" s="1" t="s">
        <v>47</v>
      </c>
      <c r="F214" s="1" t="s">
        <v>42</v>
      </c>
      <c r="G214" s="1">
        <v>130.0</v>
      </c>
      <c r="H214" s="1">
        <v>1.0</v>
      </c>
      <c r="I214" s="1" t="s">
        <v>27</v>
      </c>
      <c r="J214" s="1" t="s">
        <v>35</v>
      </c>
      <c r="K214" s="1" t="s">
        <v>30</v>
      </c>
      <c r="L214" s="1">
        <v>0.0</v>
      </c>
    </row>
    <row r="215">
      <c r="A215" s="1" t="s">
        <v>458</v>
      </c>
      <c r="B215" s="1" t="s">
        <v>459</v>
      </c>
      <c r="C215" s="2">
        <v>45205.0</v>
      </c>
      <c r="D215" s="1">
        <v>7.3726418E7</v>
      </c>
      <c r="E215" s="1" t="s">
        <v>14</v>
      </c>
      <c r="F215" s="1" t="s">
        <v>26</v>
      </c>
      <c r="G215" s="1">
        <v>26.0</v>
      </c>
      <c r="H215" s="1">
        <v>1.0</v>
      </c>
      <c r="I215" s="1" t="s">
        <v>16</v>
      </c>
      <c r="J215" s="1" t="s">
        <v>35</v>
      </c>
      <c r="K215" s="1" t="s">
        <v>30</v>
      </c>
      <c r="L215" s="1">
        <v>0.0</v>
      </c>
    </row>
    <row r="216">
      <c r="A216" s="1" t="s">
        <v>460</v>
      </c>
      <c r="B216" s="1" t="s">
        <v>461</v>
      </c>
      <c r="C216" s="2">
        <v>45214.0</v>
      </c>
      <c r="D216" s="1">
        <v>7.5281427E7</v>
      </c>
      <c r="E216" s="1" t="s">
        <v>25</v>
      </c>
      <c r="F216" s="1" t="s">
        <v>42</v>
      </c>
      <c r="G216" s="1">
        <v>51.0</v>
      </c>
      <c r="H216" s="1">
        <v>1.0</v>
      </c>
      <c r="I216" s="1" t="s">
        <v>21</v>
      </c>
      <c r="J216" s="1" t="s">
        <v>39</v>
      </c>
      <c r="K216" s="1" t="s">
        <v>30</v>
      </c>
      <c r="L216" s="1">
        <v>0.0</v>
      </c>
    </row>
    <row r="217">
      <c r="A217" s="1" t="s">
        <v>462</v>
      </c>
      <c r="B217" s="1" t="s">
        <v>463</v>
      </c>
      <c r="C217" s="2">
        <v>44961.0</v>
      </c>
      <c r="D217" s="1">
        <v>9.4253771E7</v>
      </c>
      <c r="E217" s="1" t="s">
        <v>47</v>
      </c>
      <c r="F217" s="1" t="s">
        <v>15</v>
      </c>
      <c r="G217" s="1">
        <v>5.0</v>
      </c>
      <c r="H217" s="1">
        <v>1.0</v>
      </c>
      <c r="I217" s="1" t="s">
        <v>27</v>
      </c>
      <c r="J217" s="1" t="s">
        <v>17</v>
      </c>
      <c r="K217" s="1" t="s">
        <v>44</v>
      </c>
      <c r="L217" s="1">
        <v>0.0</v>
      </c>
    </row>
    <row r="218">
      <c r="A218" s="1" t="s">
        <v>464</v>
      </c>
      <c r="B218" s="1" t="s">
        <v>465</v>
      </c>
      <c r="C218" s="2">
        <v>45225.0</v>
      </c>
      <c r="D218" s="1">
        <v>4.1450093E7</v>
      </c>
      <c r="E218" s="1" t="s">
        <v>47</v>
      </c>
      <c r="F218" s="1" t="s">
        <v>42</v>
      </c>
      <c r="G218" s="1">
        <v>169.0</v>
      </c>
      <c r="H218" s="1">
        <v>0.0</v>
      </c>
      <c r="I218" s="1" t="s">
        <v>34</v>
      </c>
      <c r="J218" s="1" t="s">
        <v>22</v>
      </c>
      <c r="K218" s="1" t="s">
        <v>30</v>
      </c>
      <c r="L218" s="1">
        <v>0.0</v>
      </c>
    </row>
    <row r="219">
      <c r="A219" s="1" t="s">
        <v>466</v>
      </c>
      <c r="B219" s="1" t="s">
        <v>467</v>
      </c>
      <c r="C219" s="2">
        <v>45251.0</v>
      </c>
      <c r="D219" s="1">
        <v>7506000.0</v>
      </c>
      <c r="E219" s="1" t="s">
        <v>47</v>
      </c>
      <c r="F219" s="1" t="s">
        <v>26</v>
      </c>
      <c r="G219" s="1">
        <v>159.0</v>
      </c>
      <c r="H219" s="1">
        <v>1.0</v>
      </c>
      <c r="I219" s="1" t="s">
        <v>16</v>
      </c>
      <c r="J219" s="1" t="s">
        <v>39</v>
      </c>
      <c r="K219" s="1" t="s">
        <v>44</v>
      </c>
      <c r="L219" s="1">
        <v>0.0</v>
      </c>
    </row>
    <row r="220">
      <c r="A220" s="1" t="s">
        <v>468</v>
      </c>
      <c r="B220" s="1" t="s">
        <v>469</v>
      </c>
      <c r="C220" s="2">
        <v>45245.0</v>
      </c>
      <c r="D220" s="1">
        <v>1145052.0</v>
      </c>
      <c r="E220" s="1" t="s">
        <v>47</v>
      </c>
      <c r="F220" s="1" t="s">
        <v>15</v>
      </c>
      <c r="G220" s="1">
        <v>153.0</v>
      </c>
      <c r="H220" s="1">
        <v>0.0</v>
      </c>
      <c r="I220" s="1" t="s">
        <v>16</v>
      </c>
      <c r="J220" s="1" t="s">
        <v>35</v>
      </c>
      <c r="K220" s="1" t="s">
        <v>44</v>
      </c>
      <c r="L220" s="1">
        <v>0.0</v>
      </c>
    </row>
    <row r="221">
      <c r="A221" s="1" t="s">
        <v>470</v>
      </c>
      <c r="B221" s="1" t="s">
        <v>471</v>
      </c>
      <c r="C221" s="2">
        <v>45219.0</v>
      </c>
      <c r="D221" s="1">
        <v>8.0536253E7</v>
      </c>
      <c r="E221" s="1" t="s">
        <v>14</v>
      </c>
      <c r="F221" s="1" t="s">
        <v>38</v>
      </c>
      <c r="G221" s="1">
        <v>89.0</v>
      </c>
      <c r="H221" s="1">
        <v>1.0</v>
      </c>
      <c r="I221" s="1" t="s">
        <v>16</v>
      </c>
      <c r="J221" s="1" t="s">
        <v>39</v>
      </c>
      <c r="K221" s="1" t="s">
        <v>44</v>
      </c>
      <c r="L221" s="1">
        <v>0.0</v>
      </c>
    </row>
    <row r="222">
      <c r="A222" s="1" t="s">
        <v>472</v>
      </c>
      <c r="B222" s="1" t="s">
        <v>473</v>
      </c>
      <c r="C222" s="2">
        <v>45266.0</v>
      </c>
      <c r="D222" s="1">
        <v>8.8804156E7</v>
      </c>
      <c r="E222" s="1" t="s">
        <v>25</v>
      </c>
      <c r="F222" s="1" t="s">
        <v>33</v>
      </c>
      <c r="G222" s="1">
        <v>39.0</v>
      </c>
      <c r="H222" s="1">
        <v>1.0</v>
      </c>
      <c r="I222" s="1" t="s">
        <v>16</v>
      </c>
      <c r="J222" s="1" t="s">
        <v>17</v>
      </c>
      <c r="K222" s="1" t="s">
        <v>30</v>
      </c>
      <c r="L222" s="1">
        <v>0.0</v>
      </c>
    </row>
    <row r="223">
      <c r="A223" s="1" t="s">
        <v>474</v>
      </c>
      <c r="B223" s="1" t="s">
        <v>475</v>
      </c>
      <c r="C223" s="2">
        <v>45099.0</v>
      </c>
      <c r="D223" s="1">
        <v>7.819735E7</v>
      </c>
      <c r="E223" s="1" t="s">
        <v>25</v>
      </c>
      <c r="F223" s="1" t="s">
        <v>33</v>
      </c>
      <c r="G223" s="1">
        <v>115.0</v>
      </c>
      <c r="H223" s="1">
        <v>0.0</v>
      </c>
      <c r="I223" s="1" t="s">
        <v>16</v>
      </c>
      <c r="J223" s="1" t="s">
        <v>17</v>
      </c>
      <c r="K223" s="1" t="s">
        <v>18</v>
      </c>
      <c r="L223" s="1">
        <v>0.0</v>
      </c>
    </row>
    <row r="224">
      <c r="A224" s="1" t="s">
        <v>476</v>
      </c>
      <c r="B224" s="1" t="s">
        <v>477</v>
      </c>
      <c r="C224" s="2">
        <v>45136.0</v>
      </c>
      <c r="D224" s="1">
        <v>3.6641598E7</v>
      </c>
      <c r="E224" s="1" t="s">
        <v>25</v>
      </c>
      <c r="F224" s="1" t="s">
        <v>38</v>
      </c>
      <c r="G224" s="1">
        <v>66.0</v>
      </c>
      <c r="H224" s="1">
        <v>0.0</v>
      </c>
      <c r="I224" s="1" t="s">
        <v>27</v>
      </c>
      <c r="J224" s="1" t="s">
        <v>39</v>
      </c>
      <c r="K224" s="1" t="s">
        <v>18</v>
      </c>
      <c r="L224" s="1">
        <v>0.0</v>
      </c>
    </row>
    <row r="225">
      <c r="A225" s="1" t="s">
        <v>478</v>
      </c>
      <c r="B225" s="1" t="s">
        <v>479</v>
      </c>
      <c r="C225" s="2">
        <v>45167.0</v>
      </c>
      <c r="D225" s="1">
        <v>7.5789398E7</v>
      </c>
      <c r="E225" s="1" t="s">
        <v>25</v>
      </c>
      <c r="F225" s="1" t="s">
        <v>38</v>
      </c>
      <c r="G225" s="1">
        <v>163.0</v>
      </c>
      <c r="H225" s="1">
        <v>1.0</v>
      </c>
      <c r="I225" s="1" t="s">
        <v>34</v>
      </c>
      <c r="J225" s="1" t="s">
        <v>22</v>
      </c>
      <c r="K225" s="1" t="s">
        <v>30</v>
      </c>
      <c r="L225" s="1">
        <v>0.0</v>
      </c>
    </row>
    <row r="226">
      <c r="A226" s="1" t="s">
        <v>480</v>
      </c>
      <c r="B226" s="1" t="s">
        <v>481</v>
      </c>
      <c r="C226" s="2">
        <v>45125.0</v>
      </c>
      <c r="D226" s="1">
        <v>6475642.0</v>
      </c>
      <c r="E226" s="1" t="s">
        <v>47</v>
      </c>
      <c r="F226" s="1" t="s">
        <v>33</v>
      </c>
      <c r="G226" s="1">
        <v>160.0</v>
      </c>
      <c r="H226" s="1">
        <v>1.0</v>
      </c>
      <c r="I226" s="1" t="s">
        <v>16</v>
      </c>
      <c r="J226" s="1" t="s">
        <v>35</v>
      </c>
      <c r="K226" s="1" t="s">
        <v>30</v>
      </c>
      <c r="L226" s="1">
        <v>0.0</v>
      </c>
    </row>
    <row r="227">
      <c r="A227" s="1" t="s">
        <v>482</v>
      </c>
      <c r="B227" s="1" t="s">
        <v>483</v>
      </c>
      <c r="C227" s="2">
        <v>45189.0</v>
      </c>
      <c r="D227" s="1">
        <v>3.7045326E7</v>
      </c>
      <c r="E227" s="1" t="s">
        <v>25</v>
      </c>
      <c r="F227" s="1" t="s">
        <v>38</v>
      </c>
      <c r="G227" s="1">
        <v>78.0</v>
      </c>
      <c r="H227" s="1">
        <v>1.0</v>
      </c>
      <c r="I227" s="1" t="s">
        <v>27</v>
      </c>
      <c r="J227" s="1" t="s">
        <v>35</v>
      </c>
      <c r="K227" s="1" t="s">
        <v>30</v>
      </c>
      <c r="L227" s="1">
        <v>1.0</v>
      </c>
    </row>
    <row r="228">
      <c r="A228" s="1" t="s">
        <v>484</v>
      </c>
      <c r="B228" s="1" t="s">
        <v>485</v>
      </c>
      <c r="C228" s="2">
        <v>44955.0</v>
      </c>
      <c r="D228" s="1">
        <v>5.2653179E7</v>
      </c>
      <c r="E228" s="1" t="s">
        <v>47</v>
      </c>
      <c r="F228" s="1" t="s">
        <v>26</v>
      </c>
      <c r="G228" s="1">
        <v>77.0</v>
      </c>
      <c r="H228" s="1">
        <v>1.0</v>
      </c>
      <c r="I228" s="1" t="s">
        <v>21</v>
      </c>
      <c r="J228" s="1" t="s">
        <v>22</v>
      </c>
      <c r="K228" s="1" t="s">
        <v>30</v>
      </c>
      <c r="L228" s="1">
        <v>0.0</v>
      </c>
    </row>
    <row r="229">
      <c r="A229" s="1" t="s">
        <v>486</v>
      </c>
      <c r="B229" s="1" t="s">
        <v>487</v>
      </c>
      <c r="C229" s="2">
        <v>45004.0</v>
      </c>
      <c r="D229" s="1">
        <v>7.6704888E7</v>
      </c>
      <c r="E229" s="1" t="s">
        <v>25</v>
      </c>
      <c r="F229" s="1" t="s">
        <v>42</v>
      </c>
      <c r="G229" s="1">
        <v>57.0</v>
      </c>
      <c r="H229" s="1">
        <v>1.0</v>
      </c>
      <c r="I229" s="1" t="s">
        <v>27</v>
      </c>
      <c r="J229" s="1" t="s">
        <v>43</v>
      </c>
      <c r="K229" s="1" t="s">
        <v>30</v>
      </c>
      <c r="L229" s="1">
        <v>0.0</v>
      </c>
    </row>
    <row r="230">
      <c r="A230" s="1" t="s">
        <v>488</v>
      </c>
      <c r="B230" s="1" t="s">
        <v>489</v>
      </c>
      <c r="C230" s="2">
        <v>45111.0</v>
      </c>
      <c r="D230" s="1">
        <v>3.0042421E7</v>
      </c>
      <c r="E230" s="1" t="s">
        <v>14</v>
      </c>
      <c r="F230" s="1" t="s">
        <v>42</v>
      </c>
      <c r="G230" s="1">
        <v>89.0</v>
      </c>
      <c r="H230" s="1">
        <v>0.0</v>
      </c>
      <c r="I230" s="1" t="s">
        <v>34</v>
      </c>
      <c r="J230" s="1" t="s">
        <v>39</v>
      </c>
      <c r="K230" s="1" t="s">
        <v>18</v>
      </c>
      <c r="L230" s="1">
        <v>0.0</v>
      </c>
    </row>
    <row r="231">
      <c r="A231" s="1" t="s">
        <v>490</v>
      </c>
      <c r="B231" s="1" t="s">
        <v>491</v>
      </c>
      <c r="C231" s="2">
        <v>45249.0</v>
      </c>
      <c r="D231" s="1">
        <v>8.2878535E7</v>
      </c>
      <c r="E231" s="1" t="s">
        <v>14</v>
      </c>
      <c r="F231" s="1" t="s">
        <v>15</v>
      </c>
      <c r="G231" s="1">
        <v>156.0</v>
      </c>
      <c r="H231" s="1">
        <v>1.0</v>
      </c>
      <c r="I231" s="1" t="s">
        <v>34</v>
      </c>
      <c r="J231" s="1" t="s">
        <v>17</v>
      </c>
      <c r="K231" s="1" t="s">
        <v>30</v>
      </c>
      <c r="L231" s="1">
        <v>0.0</v>
      </c>
    </row>
    <row r="232">
      <c r="A232" s="1" t="s">
        <v>492</v>
      </c>
      <c r="B232" s="1" t="s">
        <v>493</v>
      </c>
      <c r="C232" s="2">
        <v>44936.0</v>
      </c>
      <c r="D232" s="1">
        <v>9.8027088E7</v>
      </c>
      <c r="E232" s="1" t="s">
        <v>14</v>
      </c>
      <c r="F232" s="1" t="s">
        <v>26</v>
      </c>
      <c r="G232" s="1">
        <v>67.0</v>
      </c>
      <c r="H232" s="1">
        <v>1.0</v>
      </c>
      <c r="I232" s="1" t="s">
        <v>27</v>
      </c>
      <c r="J232" s="1" t="s">
        <v>17</v>
      </c>
      <c r="K232" s="1" t="s">
        <v>18</v>
      </c>
      <c r="L232" s="1">
        <v>0.0</v>
      </c>
    </row>
    <row r="233">
      <c r="A233" s="1" t="s">
        <v>494</v>
      </c>
      <c r="B233" s="1" t="s">
        <v>495</v>
      </c>
      <c r="C233" s="2">
        <v>45037.0</v>
      </c>
      <c r="D233" s="1">
        <v>3096819.0</v>
      </c>
      <c r="E233" s="1" t="s">
        <v>25</v>
      </c>
      <c r="F233" s="1" t="s">
        <v>38</v>
      </c>
      <c r="G233" s="1">
        <v>53.0</v>
      </c>
      <c r="H233" s="1">
        <v>1.0</v>
      </c>
      <c r="I233" s="1" t="s">
        <v>21</v>
      </c>
      <c r="J233" s="1" t="s">
        <v>35</v>
      </c>
      <c r="K233" s="1" t="s">
        <v>18</v>
      </c>
      <c r="L233" s="1">
        <v>0.0</v>
      </c>
    </row>
    <row r="234">
      <c r="A234" s="1" t="s">
        <v>496</v>
      </c>
      <c r="B234" s="1" t="s">
        <v>497</v>
      </c>
      <c r="C234" s="2">
        <v>45091.0</v>
      </c>
      <c r="D234" s="1">
        <v>5.6152296E7</v>
      </c>
      <c r="E234" s="1" t="s">
        <v>14</v>
      </c>
      <c r="F234" s="1" t="s">
        <v>26</v>
      </c>
      <c r="G234" s="1">
        <v>48.0</v>
      </c>
      <c r="H234" s="1">
        <v>1.0</v>
      </c>
      <c r="I234" s="1" t="s">
        <v>21</v>
      </c>
      <c r="J234" s="1" t="s">
        <v>17</v>
      </c>
      <c r="K234" s="1" t="s">
        <v>44</v>
      </c>
      <c r="L234" s="1">
        <v>0.0</v>
      </c>
    </row>
    <row r="235">
      <c r="A235" s="1" t="s">
        <v>498</v>
      </c>
      <c r="B235" s="1" t="s">
        <v>499</v>
      </c>
      <c r="C235" s="2">
        <v>45211.0</v>
      </c>
      <c r="D235" s="1">
        <v>6968304.0</v>
      </c>
      <c r="E235" s="1" t="s">
        <v>47</v>
      </c>
      <c r="F235" s="1" t="s">
        <v>15</v>
      </c>
      <c r="G235" s="1">
        <v>175.0</v>
      </c>
      <c r="H235" s="1">
        <v>1.0</v>
      </c>
      <c r="I235" s="1" t="s">
        <v>34</v>
      </c>
      <c r="J235" s="1" t="s">
        <v>39</v>
      </c>
      <c r="K235" s="1" t="s">
        <v>18</v>
      </c>
      <c r="L235" s="1">
        <v>0.0</v>
      </c>
    </row>
    <row r="236">
      <c r="A236" s="1" t="s">
        <v>500</v>
      </c>
      <c r="B236" s="1" t="s">
        <v>501</v>
      </c>
      <c r="C236" s="2">
        <v>44991.0</v>
      </c>
      <c r="D236" s="1">
        <v>2.8734093E7</v>
      </c>
      <c r="E236" s="1" t="s">
        <v>25</v>
      </c>
      <c r="F236" s="1" t="s">
        <v>33</v>
      </c>
      <c r="G236" s="1">
        <v>146.0</v>
      </c>
      <c r="H236" s="1">
        <v>1.0</v>
      </c>
      <c r="I236" s="1" t="s">
        <v>27</v>
      </c>
      <c r="J236" s="1" t="s">
        <v>22</v>
      </c>
      <c r="K236" s="1" t="s">
        <v>30</v>
      </c>
      <c r="L236" s="1">
        <v>0.0</v>
      </c>
    </row>
    <row r="237">
      <c r="A237" s="1" t="s">
        <v>502</v>
      </c>
      <c r="B237" s="1" t="s">
        <v>503</v>
      </c>
      <c r="C237" s="2">
        <v>45068.0</v>
      </c>
      <c r="D237" s="1">
        <v>5.5489935E7</v>
      </c>
      <c r="E237" s="1" t="s">
        <v>14</v>
      </c>
      <c r="F237" s="1" t="s">
        <v>38</v>
      </c>
      <c r="G237" s="1">
        <v>116.0</v>
      </c>
      <c r="H237" s="1">
        <v>1.0</v>
      </c>
      <c r="I237" s="1" t="s">
        <v>34</v>
      </c>
      <c r="J237" s="1" t="s">
        <v>17</v>
      </c>
      <c r="K237" s="1" t="s">
        <v>44</v>
      </c>
      <c r="L237" s="1">
        <v>0.0</v>
      </c>
    </row>
    <row r="238">
      <c r="A238" s="1" t="s">
        <v>504</v>
      </c>
      <c r="B238" s="1" t="s">
        <v>505</v>
      </c>
      <c r="C238" s="2">
        <v>45162.0</v>
      </c>
      <c r="D238" s="1">
        <v>5.7218045E7</v>
      </c>
      <c r="E238" s="1" t="s">
        <v>25</v>
      </c>
      <c r="F238" s="1" t="s">
        <v>33</v>
      </c>
      <c r="G238" s="1">
        <v>14.0</v>
      </c>
      <c r="H238" s="1">
        <v>1.0</v>
      </c>
      <c r="I238" s="1" t="s">
        <v>27</v>
      </c>
      <c r="J238" s="1" t="s">
        <v>39</v>
      </c>
      <c r="K238" s="1" t="s">
        <v>18</v>
      </c>
      <c r="L238" s="1">
        <v>0.0</v>
      </c>
    </row>
    <row r="239">
      <c r="A239" s="1" t="s">
        <v>506</v>
      </c>
      <c r="B239" s="1" t="s">
        <v>507</v>
      </c>
      <c r="C239" s="2">
        <v>44929.0</v>
      </c>
      <c r="D239" s="1">
        <v>8.9377888E7</v>
      </c>
      <c r="E239" s="1" t="s">
        <v>14</v>
      </c>
      <c r="F239" s="1" t="s">
        <v>38</v>
      </c>
      <c r="G239" s="1">
        <v>160.0</v>
      </c>
      <c r="H239" s="1">
        <v>1.0</v>
      </c>
      <c r="I239" s="1" t="s">
        <v>16</v>
      </c>
      <c r="J239" s="1" t="s">
        <v>43</v>
      </c>
      <c r="K239" s="1" t="s">
        <v>44</v>
      </c>
      <c r="L239" s="1">
        <v>0.0</v>
      </c>
    </row>
    <row r="240">
      <c r="A240" s="1" t="s">
        <v>508</v>
      </c>
      <c r="B240" s="1" t="s">
        <v>509</v>
      </c>
      <c r="C240" s="2">
        <v>45014.0</v>
      </c>
      <c r="D240" s="1">
        <v>2.0842161E7</v>
      </c>
      <c r="E240" s="1" t="s">
        <v>14</v>
      </c>
      <c r="F240" s="1" t="s">
        <v>38</v>
      </c>
      <c r="G240" s="1">
        <v>95.0</v>
      </c>
      <c r="H240" s="1">
        <v>1.0</v>
      </c>
      <c r="I240" s="1" t="s">
        <v>16</v>
      </c>
      <c r="J240" s="1" t="s">
        <v>22</v>
      </c>
      <c r="K240" s="1" t="s">
        <v>30</v>
      </c>
      <c r="L240" s="1">
        <v>0.0</v>
      </c>
    </row>
    <row r="241">
      <c r="A241" s="1" t="s">
        <v>510</v>
      </c>
      <c r="B241" s="1" t="s">
        <v>511</v>
      </c>
      <c r="C241" s="2">
        <v>45149.0</v>
      </c>
      <c r="D241" s="1">
        <v>7.6114212E7</v>
      </c>
      <c r="E241" s="1" t="s">
        <v>14</v>
      </c>
      <c r="F241" s="1" t="s">
        <v>38</v>
      </c>
      <c r="G241" s="1">
        <v>39.0</v>
      </c>
      <c r="H241" s="1">
        <v>1.0</v>
      </c>
      <c r="I241" s="1" t="s">
        <v>16</v>
      </c>
      <c r="J241" s="1" t="s">
        <v>39</v>
      </c>
      <c r="K241" s="1" t="s">
        <v>44</v>
      </c>
      <c r="L241" s="1">
        <v>0.0</v>
      </c>
    </row>
    <row r="242">
      <c r="A242" s="1" t="s">
        <v>512</v>
      </c>
      <c r="B242" s="1" t="s">
        <v>513</v>
      </c>
      <c r="C242" s="2">
        <v>44930.0</v>
      </c>
      <c r="D242" s="1">
        <v>3.9420947E7</v>
      </c>
      <c r="E242" s="1" t="s">
        <v>47</v>
      </c>
      <c r="F242" s="1" t="s">
        <v>42</v>
      </c>
      <c r="G242" s="1">
        <v>75.0</v>
      </c>
      <c r="H242" s="1">
        <v>0.0</v>
      </c>
      <c r="I242" s="1" t="s">
        <v>21</v>
      </c>
      <c r="J242" s="1" t="s">
        <v>39</v>
      </c>
      <c r="K242" s="1" t="s">
        <v>30</v>
      </c>
      <c r="L242" s="1">
        <v>0.0</v>
      </c>
    </row>
    <row r="243">
      <c r="A243" s="1" t="s">
        <v>514</v>
      </c>
      <c r="B243" s="1" t="s">
        <v>515</v>
      </c>
      <c r="C243" s="2">
        <v>45038.0</v>
      </c>
      <c r="D243" s="1">
        <v>2.7339169E7</v>
      </c>
      <c r="E243" s="1" t="s">
        <v>14</v>
      </c>
      <c r="F243" s="1" t="s">
        <v>38</v>
      </c>
      <c r="G243" s="1">
        <v>174.0</v>
      </c>
      <c r="H243" s="1">
        <v>1.0</v>
      </c>
      <c r="I243" s="1" t="s">
        <v>27</v>
      </c>
      <c r="J243" s="1" t="s">
        <v>17</v>
      </c>
      <c r="K243" s="1" t="s">
        <v>30</v>
      </c>
      <c r="L243" s="1">
        <v>1.0</v>
      </c>
    </row>
    <row r="244">
      <c r="A244" s="1" t="s">
        <v>516</v>
      </c>
      <c r="B244" s="1" t="s">
        <v>517</v>
      </c>
      <c r="C244" s="2">
        <v>45263.0</v>
      </c>
      <c r="D244" s="1">
        <v>8.0508458E7</v>
      </c>
      <c r="E244" s="1" t="s">
        <v>25</v>
      </c>
      <c r="F244" s="1" t="s">
        <v>33</v>
      </c>
      <c r="G244" s="1">
        <v>42.0</v>
      </c>
      <c r="H244" s="1">
        <v>1.0</v>
      </c>
      <c r="I244" s="1" t="s">
        <v>16</v>
      </c>
      <c r="J244" s="1" t="s">
        <v>17</v>
      </c>
      <c r="K244" s="1" t="s">
        <v>30</v>
      </c>
      <c r="L244" s="1">
        <v>0.0</v>
      </c>
    </row>
    <row r="245">
      <c r="A245" s="1" t="s">
        <v>518</v>
      </c>
      <c r="B245" s="1" t="s">
        <v>519</v>
      </c>
      <c r="C245" s="2">
        <v>45170.0</v>
      </c>
      <c r="D245" s="1">
        <v>3.7466718E7</v>
      </c>
      <c r="E245" s="1" t="s">
        <v>25</v>
      </c>
      <c r="F245" s="1" t="s">
        <v>26</v>
      </c>
      <c r="G245" s="1">
        <v>11.0</v>
      </c>
      <c r="H245" s="1">
        <v>1.0</v>
      </c>
      <c r="I245" s="1" t="s">
        <v>34</v>
      </c>
      <c r="J245" s="1" t="s">
        <v>22</v>
      </c>
      <c r="K245" s="1" t="s">
        <v>18</v>
      </c>
      <c r="L245" s="1">
        <v>0.0</v>
      </c>
    </row>
    <row r="246">
      <c r="A246" s="1" t="s">
        <v>520</v>
      </c>
      <c r="B246" s="1" t="s">
        <v>521</v>
      </c>
      <c r="C246" s="2">
        <v>45009.0</v>
      </c>
      <c r="D246" s="1">
        <v>9409736.0</v>
      </c>
      <c r="E246" s="1" t="s">
        <v>25</v>
      </c>
      <c r="F246" s="1" t="s">
        <v>15</v>
      </c>
      <c r="G246" s="1">
        <v>63.0</v>
      </c>
      <c r="H246" s="1">
        <v>1.0</v>
      </c>
      <c r="I246" s="1" t="s">
        <v>21</v>
      </c>
      <c r="J246" s="1" t="s">
        <v>39</v>
      </c>
      <c r="K246" s="1" t="s">
        <v>30</v>
      </c>
      <c r="L246" s="1">
        <v>0.0</v>
      </c>
    </row>
    <row r="247">
      <c r="A247" s="1" t="s">
        <v>522</v>
      </c>
      <c r="B247" s="1" t="s">
        <v>523</v>
      </c>
      <c r="C247" s="2">
        <v>45233.0</v>
      </c>
      <c r="D247" s="1">
        <v>9.7354734E7</v>
      </c>
      <c r="E247" s="1" t="s">
        <v>47</v>
      </c>
      <c r="F247" s="1" t="s">
        <v>15</v>
      </c>
      <c r="G247" s="1">
        <v>90.0</v>
      </c>
      <c r="H247" s="1">
        <v>1.0</v>
      </c>
      <c r="I247" s="1" t="s">
        <v>21</v>
      </c>
      <c r="J247" s="1" t="s">
        <v>35</v>
      </c>
      <c r="K247" s="1" t="s">
        <v>18</v>
      </c>
      <c r="L247" s="1">
        <v>0.0</v>
      </c>
    </row>
    <row r="248">
      <c r="A248" s="1" t="s">
        <v>524</v>
      </c>
      <c r="B248" s="1" t="s">
        <v>525</v>
      </c>
      <c r="C248" s="2">
        <v>44955.0</v>
      </c>
      <c r="D248" s="1">
        <v>9.1005304E7</v>
      </c>
      <c r="E248" s="1" t="s">
        <v>47</v>
      </c>
      <c r="F248" s="1" t="s">
        <v>33</v>
      </c>
      <c r="G248" s="1">
        <v>8.0</v>
      </c>
      <c r="H248" s="1">
        <v>1.0</v>
      </c>
      <c r="I248" s="1" t="s">
        <v>34</v>
      </c>
      <c r="J248" s="1" t="s">
        <v>39</v>
      </c>
      <c r="K248" s="1" t="s">
        <v>30</v>
      </c>
      <c r="L248" s="1">
        <v>1.0</v>
      </c>
    </row>
    <row r="249">
      <c r="A249" s="1" t="s">
        <v>526</v>
      </c>
      <c r="B249" s="1" t="s">
        <v>527</v>
      </c>
      <c r="C249" s="2">
        <v>45218.0</v>
      </c>
      <c r="D249" s="1">
        <v>3.6701049E7</v>
      </c>
      <c r="E249" s="1" t="s">
        <v>14</v>
      </c>
      <c r="F249" s="1" t="s">
        <v>38</v>
      </c>
      <c r="G249" s="1">
        <v>80.0</v>
      </c>
      <c r="H249" s="1">
        <v>1.0</v>
      </c>
      <c r="I249" s="1" t="s">
        <v>21</v>
      </c>
      <c r="J249" s="1" t="s">
        <v>35</v>
      </c>
      <c r="K249" s="1" t="s">
        <v>30</v>
      </c>
      <c r="L249" s="1">
        <v>0.0</v>
      </c>
    </row>
    <row r="250">
      <c r="A250" s="1" t="s">
        <v>528</v>
      </c>
      <c r="B250" s="1" t="s">
        <v>529</v>
      </c>
      <c r="C250" s="2">
        <v>45236.0</v>
      </c>
      <c r="D250" s="1">
        <v>2.2591159E7</v>
      </c>
      <c r="E250" s="1" t="s">
        <v>14</v>
      </c>
      <c r="F250" s="1" t="s">
        <v>33</v>
      </c>
      <c r="G250" s="1">
        <v>16.0</v>
      </c>
      <c r="H250" s="1">
        <v>1.0</v>
      </c>
      <c r="I250" s="1" t="s">
        <v>27</v>
      </c>
      <c r="J250" s="1" t="s">
        <v>22</v>
      </c>
      <c r="K250" s="1" t="s">
        <v>44</v>
      </c>
      <c r="L250" s="1">
        <v>0.0</v>
      </c>
    </row>
    <row r="251">
      <c r="A251" s="1" t="s">
        <v>530</v>
      </c>
      <c r="B251" s="1" t="s">
        <v>531</v>
      </c>
      <c r="C251" s="2">
        <v>45209.0</v>
      </c>
      <c r="D251" s="1">
        <v>9.5118338E7</v>
      </c>
      <c r="E251" s="1" t="s">
        <v>14</v>
      </c>
      <c r="F251" s="1" t="s">
        <v>33</v>
      </c>
      <c r="G251" s="1">
        <v>162.0</v>
      </c>
      <c r="H251" s="1">
        <v>0.0</v>
      </c>
      <c r="I251" s="1" t="s">
        <v>16</v>
      </c>
      <c r="J251" s="1" t="s">
        <v>43</v>
      </c>
      <c r="K251" s="1" t="s">
        <v>44</v>
      </c>
      <c r="L251" s="1">
        <v>0.0</v>
      </c>
    </row>
    <row r="252">
      <c r="A252" s="1" t="s">
        <v>532</v>
      </c>
      <c r="B252" s="1" t="s">
        <v>533</v>
      </c>
      <c r="C252" s="2">
        <v>45286.0</v>
      </c>
      <c r="D252" s="1">
        <v>6.2040716E7</v>
      </c>
      <c r="E252" s="1" t="s">
        <v>25</v>
      </c>
      <c r="F252" s="1" t="s">
        <v>33</v>
      </c>
      <c r="G252" s="1">
        <v>83.0</v>
      </c>
      <c r="H252" s="1">
        <v>1.0</v>
      </c>
      <c r="I252" s="1" t="s">
        <v>21</v>
      </c>
      <c r="J252" s="1" t="s">
        <v>17</v>
      </c>
      <c r="K252" s="1" t="s">
        <v>44</v>
      </c>
      <c r="L252" s="1">
        <v>0.0</v>
      </c>
    </row>
    <row r="253">
      <c r="A253" s="1" t="s">
        <v>534</v>
      </c>
      <c r="B253" s="1" t="s">
        <v>535</v>
      </c>
      <c r="C253" s="2">
        <v>44969.0</v>
      </c>
      <c r="D253" s="1">
        <v>6.980623E7</v>
      </c>
      <c r="E253" s="1" t="s">
        <v>14</v>
      </c>
      <c r="F253" s="1" t="s">
        <v>38</v>
      </c>
      <c r="G253" s="1">
        <v>31.0</v>
      </c>
      <c r="H253" s="1">
        <v>1.0</v>
      </c>
      <c r="I253" s="1" t="s">
        <v>27</v>
      </c>
      <c r="J253" s="1" t="s">
        <v>39</v>
      </c>
      <c r="K253" s="1" t="s">
        <v>18</v>
      </c>
      <c r="L253" s="1">
        <v>0.0</v>
      </c>
    </row>
    <row r="254">
      <c r="A254" s="1" t="s">
        <v>536</v>
      </c>
      <c r="B254" s="1" t="s">
        <v>537</v>
      </c>
      <c r="C254" s="2">
        <v>45229.0</v>
      </c>
      <c r="D254" s="1">
        <v>5.0518135E7</v>
      </c>
      <c r="E254" s="1" t="s">
        <v>47</v>
      </c>
      <c r="F254" s="1" t="s">
        <v>26</v>
      </c>
      <c r="G254" s="1">
        <v>112.0</v>
      </c>
      <c r="H254" s="1">
        <v>1.0</v>
      </c>
      <c r="I254" s="1" t="s">
        <v>16</v>
      </c>
      <c r="J254" s="1" t="s">
        <v>43</v>
      </c>
      <c r="K254" s="1" t="s">
        <v>18</v>
      </c>
      <c r="L254" s="1">
        <v>0.0</v>
      </c>
    </row>
    <row r="255">
      <c r="A255" s="1" t="s">
        <v>538</v>
      </c>
      <c r="B255" s="1" t="s">
        <v>539</v>
      </c>
      <c r="C255" s="2">
        <v>45124.0</v>
      </c>
      <c r="D255" s="1">
        <v>5.7502342E7</v>
      </c>
      <c r="E255" s="1" t="s">
        <v>14</v>
      </c>
      <c r="F255" s="1" t="s">
        <v>42</v>
      </c>
      <c r="G255" s="1">
        <v>85.0</v>
      </c>
      <c r="H255" s="1">
        <v>1.0</v>
      </c>
      <c r="I255" s="1" t="s">
        <v>16</v>
      </c>
      <c r="J255" s="1" t="s">
        <v>43</v>
      </c>
      <c r="K255" s="1" t="s">
        <v>30</v>
      </c>
      <c r="L255" s="1">
        <v>0.0</v>
      </c>
    </row>
    <row r="256">
      <c r="A256" s="1" t="s">
        <v>540</v>
      </c>
      <c r="B256" s="1" t="s">
        <v>541</v>
      </c>
      <c r="C256" s="2">
        <v>44955.0</v>
      </c>
      <c r="D256" s="1">
        <v>8.8584157E7</v>
      </c>
      <c r="E256" s="1" t="s">
        <v>14</v>
      </c>
      <c r="F256" s="1" t="s">
        <v>38</v>
      </c>
      <c r="G256" s="1">
        <v>168.0</v>
      </c>
      <c r="H256" s="1">
        <v>1.0</v>
      </c>
      <c r="I256" s="1" t="s">
        <v>34</v>
      </c>
      <c r="J256" s="1" t="s">
        <v>35</v>
      </c>
      <c r="K256" s="1" t="s">
        <v>30</v>
      </c>
      <c r="L256" s="1">
        <v>0.0</v>
      </c>
    </row>
    <row r="257">
      <c r="A257" s="1" t="s">
        <v>542</v>
      </c>
      <c r="B257" s="1" t="s">
        <v>543</v>
      </c>
      <c r="C257" s="2">
        <v>45054.0</v>
      </c>
      <c r="D257" s="1">
        <v>7841415.0</v>
      </c>
      <c r="E257" s="1" t="s">
        <v>25</v>
      </c>
      <c r="F257" s="1" t="s">
        <v>42</v>
      </c>
      <c r="G257" s="1">
        <v>57.0</v>
      </c>
      <c r="H257" s="1">
        <v>0.0</v>
      </c>
      <c r="I257" s="1" t="s">
        <v>27</v>
      </c>
      <c r="J257" s="1" t="s">
        <v>43</v>
      </c>
      <c r="K257" s="1" t="s">
        <v>18</v>
      </c>
      <c r="L257" s="1">
        <v>0.0</v>
      </c>
    </row>
    <row r="258">
      <c r="A258" s="1" t="s">
        <v>544</v>
      </c>
      <c r="B258" s="1" t="s">
        <v>545</v>
      </c>
      <c r="C258" s="2">
        <v>45098.0</v>
      </c>
      <c r="D258" s="1">
        <v>5.7016207E7</v>
      </c>
      <c r="E258" s="1" t="s">
        <v>47</v>
      </c>
      <c r="F258" s="1" t="s">
        <v>42</v>
      </c>
      <c r="G258" s="1">
        <v>150.0</v>
      </c>
      <c r="H258" s="1">
        <v>0.0</v>
      </c>
      <c r="I258" s="1" t="s">
        <v>21</v>
      </c>
      <c r="J258" s="1" t="s">
        <v>17</v>
      </c>
      <c r="K258" s="1" t="s">
        <v>30</v>
      </c>
      <c r="L258" s="1">
        <v>0.0</v>
      </c>
    </row>
    <row r="259">
      <c r="A259" s="1" t="s">
        <v>546</v>
      </c>
      <c r="B259" s="1" t="s">
        <v>547</v>
      </c>
      <c r="C259" s="2">
        <v>45010.0</v>
      </c>
      <c r="D259" s="1">
        <v>5.7784298E7</v>
      </c>
      <c r="E259" s="1" t="s">
        <v>25</v>
      </c>
      <c r="F259" s="1" t="s">
        <v>38</v>
      </c>
      <c r="G259" s="1">
        <v>85.0</v>
      </c>
      <c r="H259" s="1">
        <v>1.0</v>
      </c>
      <c r="I259" s="1" t="s">
        <v>21</v>
      </c>
      <c r="J259" s="1" t="s">
        <v>43</v>
      </c>
      <c r="K259" s="1" t="s">
        <v>30</v>
      </c>
      <c r="L259" s="1">
        <v>0.0</v>
      </c>
    </row>
    <row r="260">
      <c r="A260" s="1" t="s">
        <v>548</v>
      </c>
      <c r="B260" s="1" t="s">
        <v>549</v>
      </c>
      <c r="C260" s="2">
        <v>44989.0</v>
      </c>
      <c r="D260" s="1">
        <v>9.0251535E7</v>
      </c>
      <c r="E260" s="1" t="s">
        <v>14</v>
      </c>
      <c r="F260" s="1" t="s">
        <v>33</v>
      </c>
      <c r="G260" s="1">
        <v>143.0</v>
      </c>
      <c r="H260" s="1">
        <v>1.0</v>
      </c>
      <c r="I260" s="1" t="s">
        <v>34</v>
      </c>
      <c r="J260" s="1" t="s">
        <v>39</v>
      </c>
      <c r="K260" s="1" t="s">
        <v>18</v>
      </c>
      <c r="L260" s="1">
        <v>0.0</v>
      </c>
    </row>
    <row r="261">
      <c r="A261" s="1" t="s">
        <v>550</v>
      </c>
      <c r="B261" s="1" t="s">
        <v>551</v>
      </c>
      <c r="C261" s="2">
        <v>45257.0</v>
      </c>
      <c r="D261" s="1">
        <v>8.4215291E7</v>
      </c>
      <c r="E261" s="1" t="s">
        <v>25</v>
      </c>
      <c r="F261" s="1" t="s">
        <v>42</v>
      </c>
      <c r="G261" s="1">
        <v>104.0</v>
      </c>
      <c r="H261" s="1">
        <v>1.0</v>
      </c>
      <c r="I261" s="1" t="s">
        <v>34</v>
      </c>
      <c r="J261" s="1" t="s">
        <v>43</v>
      </c>
      <c r="K261" s="1" t="s">
        <v>30</v>
      </c>
      <c r="L261" s="1">
        <v>0.0</v>
      </c>
    </row>
    <row r="262">
      <c r="A262" s="1" t="s">
        <v>552</v>
      </c>
      <c r="B262" s="1" t="s">
        <v>553</v>
      </c>
      <c r="C262" s="2">
        <v>45129.0</v>
      </c>
      <c r="D262" s="1">
        <v>2.799247E7</v>
      </c>
      <c r="E262" s="1" t="s">
        <v>25</v>
      </c>
      <c r="F262" s="1" t="s">
        <v>15</v>
      </c>
      <c r="G262" s="1">
        <v>158.0</v>
      </c>
      <c r="H262" s="1">
        <v>1.0</v>
      </c>
      <c r="I262" s="1" t="s">
        <v>16</v>
      </c>
      <c r="J262" s="1" t="s">
        <v>43</v>
      </c>
      <c r="K262" s="1" t="s">
        <v>18</v>
      </c>
      <c r="L262" s="1">
        <v>0.0</v>
      </c>
    </row>
    <row r="263">
      <c r="A263" s="1" t="s">
        <v>554</v>
      </c>
      <c r="B263" s="1" t="s">
        <v>555</v>
      </c>
      <c r="C263" s="2">
        <v>45064.0</v>
      </c>
      <c r="D263" s="1">
        <v>4.9762693E7</v>
      </c>
      <c r="E263" s="1" t="s">
        <v>47</v>
      </c>
      <c r="F263" s="1" t="s">
        <v>42</v>
      </c>
      <c r="G263" s="1">
        <v>132.0</v>
      </c>
      <c r="H263" s="1">
        <v>1.0</v>
      </c>
      <c r="I263" s="1" t="s">
        <v>27</v>
      </c>
      <c r="J263" s="1" t="s">
        <v>35</v>
      </c>
      <c r="K263" s="1" t="s">
        <v>30</v>
      </c>
      <c r="L263" s="1">
        <v>0.0</v>
      </c>
    </row>
    <row r="264">
      <c r="A264" s="1" t="s">
        <v>556</v>
      </c>
      <c r="B264" s="1" t="s">
        <v>557</v>
      </c>
      <c r="C264" s="2">
        <v>45146.0</v>
      </c>
      <c r="D264" s="1">
        <v>6.3118926E7</v>
      </c>
      <c r="E264" s="1" t="s">
        <v>47</v>
      </c>
      <c r="F264" s="1" t="s">
        <v>42</v>
      </c>
      <c r="G264" s="1">
        <v>159.0</v>
      </c>
      <c r="H264" s="1">
        <v>1.0</v>
      </c>
      <c r="I264" s="1" t="s">
        <v>16</v>
      </c>
      <c r="J264" s="1" t="s">
        <v>22</v>
      </c>
      <c r="K264" s="1" t="s">
        <v>30</v>
      </c>
      <c r="L264" s="1">
        <v>0.0</v>
      </c>
    </row>
    <row r="265">
      <c r="A265" s="1" t="s">
        <v>558</v>
      </c>
      <c r="B265" s="1" t="s">
        <v>559</v>
      </c>
      <c r="C265" s="2">
        <v>45154.0</v>
      </c>
      <c r="D265" s="1">
        <v>6435721.0</v>
      </c>
      <c r="E265" s="1" t="s">
        <v>47</v>
      </c>
      <c r="F265" s="1" t="s">
        <v>26</v>
      </c>
      <c r="G265" s="1">
        <v>56.0</v>
      </c>
      <c r="H265" s="1">
        <v>1.0</v>
      </c>
      <c r="I265" s="1" t="s">
        <v>16</v>
      </c>
      <c r="J265" s="1" t="s">
        <v>35</v>
      </c>
      <c r="K265" s="1" t="s">
        <v>18</v>
      </c>
      <c r="L265" s="1">
        <v>0.0</v>
      </c>
    </row>
    <row r="266">
      <c r="A266" s="1" t="s">
        <v>560</v>
      </c>
      <c r="B266" s="1" t="s">
        <v>561</v>
      </c>
      <c r="C266" s="2">
        <v>45258.0</v>
      </c>
      <c r="D266" s="1">
        <v>5530861.0</v>
      </c>
      <c r="E266" s="1" t="s">
        <v>25</v>
      </c>
      <c r="F266" s="1" t="s">
        <v>15</v>
      </c>
      <c r="G266" s="1">
        <v>84.0</v>
      </c>
      <c r="H266" s="1">
        <v>1.0</v>
      </c>
      <c r="I266" s="1" t="s">
        <v>16</v>
      </c>
      <c r="J266" s="1" t="s">
        <v>17</v>
      </c>
      <c r="K266" s="1" t="s">
        <v>44</v>
      </c>
      <c r="L266" s="1">
        <v>0.0</v>
      </c>
    </row>
    <row r="267">
      <c r="A267" s="1" t="s">
        <v>562</v>
      </c>
      <c r="B267" s="1" t="s">
        <v>563</v>
      </c>
      <c r="C267" s="2">
        <v>45279.0</v>
      </c>
      <c r="D267" s="1">
        <v>8.8009834E7</v>
      </c>
      <c r="E267" s="1" t="s">
        <v>14</v>
      </c>
      <c r="F267" s="1" t="s">
        <v>42</v>
      </c>
      <c r="G267" s="1">
        <v>32.0</v>
      </c>
      <c r="H267" s="1">
        <v>1.0</v>
      </c>
      <c r="I267" s="1" t="s">
        <v>34</v>
      </c>
      <c r="J267" s="1" t="s">
        <v>17</v>
      </c>
      <c r="K267" s="1" t="s">
        <v>44</v>
      </c>
      <c r="L267" s="1">
        <v>0.0</v>
      </c>
    </row>
    <row r="268">
      <c r="A268" s="1" t="s">
        <v>564</v>
      </c>
      <c r="B268" s="1" t="s">
        <v>565</v>
      </c>
      <c r="C268" s="2">
        <v>45093.0</v>
      </c>
      <c r="D268" s="1">
        <v>3.0867406E7</v>
      </c>
      <c r="E268" s="1" t="s">
        <v>14</v>
      </c>
      <c r="F268" s="1" t="s">
        <v>38</v>
      </c>
      <c r="G268" s="1">
        <v>137.0</v>
      </c>
      <c r="H268" s="1">
        <v>0.0</v>
      </c>
      <c r="I268" s="1" t="s">
        <v>34</v>
      </c>
      <c r="J268" s="1" t="s">
        <v>39</v>
      </c>
      <c r="K268" s="1" t="s">
        <v>18</v>
      </c>
      <c r="L268" s="1">
        <v>0.0</v>
      </c>
    </row>
    <row r="269">
      <c r="A269" s="1" t="s">
        <v>566</v>
      </c>
      <c r="B269" s="1" t="s">
        <v>567</v>
      </c>
      <c r="C269" s="2">
        <v>44958.0</v>
      </c>
      <c r="D269" s="1">
        <v>1.7902182E7</v>
      </c>
      <c r="E269" s="1" t="s">
        <v>47</v>
      </c>
      <c r="F269" s="1" t="s">
        <v>38</v>
      </c>
      <c r="G269" s="1">
        <v>107.0</v>
      </c>
      <c r="H269" s="1">
        <v>1.0</v>
      </c>
      <c r="I269" s="1" t="s">
        <v>34</v>
      </c>
      <c r="J269" s="1" t="s">
        <v>39</v>
      </c>
      <c r="K269" s="1" t="s">
        <v>18</v>
      </c>
      <c r="L269" s="1">
        <v>0.0</v>
      </c>
    </row>
    <row r="270">
      <c r="A270" s="1" t="s">
        <v>568</v>
      </c>
      <c r="B270" s="1" t="s">
        <v>569</v>
      </c>
      <c r="C270" s="2">
        <v>45170.0</v>
      </c>
      <c r="D270" s="1">
        <v>8.7406559E7</v>
      </c>
      <c r="E270" s="1" t="s">
        <v>47</v>
      </c>
      <c r="F270" s="1" t="s">
        <v>33</v>
      </c>
      <c r="G270" s="1">
        <v>108.0</v>
      </c>
      <c r="H270" s="1">
        <v>1.0</v>
      </c>
      <c r="I270" s="1" t="s">
        <v>27</v>
      </c>
      <c r="J270" s="1" t="s">
        <v>39</v>
      </c>
      <c r="K270" s="1" t="s">
        <v>18</v>
      </c>
      <c r="L270" s="1">
        <v>0.0</v>
      </c>
    </row>
    <row r="271">
      <c r="A271" s="1" t="s">
        <v>570</v>
      </c>
      <c r="B271" s="1" t="s">
        <v>571</v>
      </c>
      <c r="C271" s="2">
        <v>45274.0</v>
      </c>
      <c r="D271" s="1">
        <v>6.4673738E7</v>
      </c>
      <c r="E271" s="1" t="s">
        <v>14</v>
      </c>
      <c r="F271" s="1" t="s">
        <v>15</v>
      </c>
      <c r="G271" s="1">
        <v>28.0</v>
      </c>
      <c r="H271" s="1">
        <v>0.0</v>
      </c>
      <c r="I271" s="1" t="s">
        <v>27</v>
      </c>
      <c r="J271" s="1" t="s">
        <v>22</v>
      </c>
      <c r="K271" s="1" t="s">
        <v>30</v>
      </c>
      <c r="L271" s="1">
        <v>0.0</v>
      </c>
    </row>
    <row r="272">
      <c r="A272" s="1" t="s">
        <v>572</v>
      </c>
      <c r="B272" s="1" t="s">
        <v>573</v>
      </c>
      <c r="C272" s="2">
        <v>45240.0</v>
      </c>
      <c r="D272" s="1">
        <v>9.4866216E7</v>
      </c>
      <c r="E272" s="1" t="s">
        <v>25</v>
      </c>
      <c r="F272" s="1" t="s">
        <v>38</v>
      </c>
      <c r="G272" s="1">
        <v>112.0</v>
      </c>
      <c r="H272" s="1">
        <v>1.0</v>
      </c>
      <c r="I272" s="1" t="s">
        <v>27</v>
      </c>
      <c r="J272" s="1" t="s">
        <v>35</v>
      </c>
      <c r="K272" s="1" t="s">
        <v>30</v>
      </c>
      <c r="L272" s="1">
        <v>0.0</v>
      </c>
    </row>
    <row r="273">
      <c r="A273" s="1" t="s">
        <v>574</v>
      </c>
      <c r="B273" s="1" t="s">
        <v>575</v>
      </c>
      <c r="C273" s="2">
        <v>44948.0</v>
      </c>
      <c r="D273" s="1">
        <v>1.0083987E7</v>
      </c>
      <c r="E273" s="1" t="s">
        <v>47</v>
      </c>
      <c r="F273" s="1" t="s">
        <v>15</v>
      </c>
      <c r="G273" s="1">
        <v>112.0</v>
      </c>
      <c r="H273" s="1">
        <v>0.0</v>
      </c>
      <c r="I273" s="1" t="s">
        <v>27</v>
      </c>
      <c r="J273" s="1" t="s">
        <v>35</v>
      </c>
      <c r="K273" s="1" t="s">
        <v>44</v>
      </c>
      <c r="L273" s="1">
        <v>1.0</v>
      </c>
    </row>
    <row r="274">
      <c r="A274" s="1" t="s">
        <v>576</v>
      </c>
      <c r="B274" s="1" t="s">
        <v>577</v>
      </c>
      <c r="C274" s="2">
        <v>45152.0</v>
      </c>
      <c r="D274" s="1">
        <v>4.193926E7</v>
      </c>
      <c r="E274" s="1" t="s">
        <v>14</v>
      </c>
      <c r="F274" s="1" t="s">
        <v>33</v>
      </c>
      <c r="G274" s="1">
        <v>27.0</v>
      </c>
      <c r="H274" s="1">
        <v>0.0</v>
      </c>
      <c r="I274" s="1" t="s">
        <v>16</v>
      </c>
      <c r="J274" s="1" t="s">
        <v>35</v>
      </c>
      <c r="K274" s="1" t="s">
        <v>44</v>
      </c>
      <c r="L274" s="1">
        <v>0.0</v>
      </c>
    </row>
    <row r="275">
      <c r="A275" s="1" t="s">
        <v>578</v>
      </c>
      <c r="B275" s="1" t="s">
        <v>579</v>
      </c>
      <c r="C275" s="2">
        <v>45244.0</v>
      </c>
      <c r="D275" s="1">
        <v>1.431168E7</v>
      </c>
      <c r="E275" s="1" t="s">
        <v>25</v>
      </c>
      <c r="F275" s="1" t="s">
        <v>26</v>
      </c>
      <c r="G275" s="1">
        <v>97.0</v>
      </c>
      <c r="H275" s="1">
        <v>1.0</v>
      </c>
      <c r="I275" s="1" t="s">
        <v>16</v>
      </c>
      <c r="J275" s="1" t="s">
        <v>43</v>
      </c>
      <c r="K275" s="1" t="s">
        <v>44</v>
      </c>
      <c r="L275" s="1">
        <v>0.0</v>
      </c>
    </row>
    <row r="276">
      <c r="A276" s="1" t="s">
        <v>580</v>
      </c>
      <c r="B276" s="1" t="s">
        <v>581</v>
      </c>
      <c r="C276" s="2">
        <v>45224.0</v>
      </c>
      <c r="D276" s="1">
        <v>2749556.0</v>
      </c>
      <c r="E276" s="1" t="s">
        <v>14</v>
      </c>
      <c r="F276" s="1" t="s">
        <v>26</v>
      </c>
      <c r="G276" s="1">
        <v>48.0</v>
      </c>
      <c r="H276" s="1">
        <v>1.0</v>
      </c>
      <c r="I276" s="1" t="s">
        <v>34</v>
      </c>
      <c r="J276" s="1" t="s">
        <v>17</v>
      </c>
      <c r="K276" s="1" t="s">
        <v>30</v>
      </c>
      <c r="L276" s="1">
        <v>0.0</v>
      </c>
    </row>
    <row r="277">
      <c r="A277" s="1" t="s">
        <v>582</v>
      </c>
      <c r="B277" s="1" t="s">
        <v>583</v>
      </c>
      <c r="C277" s="2">
        <v>45290.0</v>
      </c>
      <c r="D277" s="1">
        <v>6.9952982E7</v>
      </c>
      <c r="E277" s="1" t="s">
        <v>47</v>
      </c>
      <c r="F277" s="1" t="s">
        <v>42</v>
      </c>
      <c r="G277" s="1">
        <v>11.0</v>
      </c>
      <c r="H277" s="1">
        <v>1.0</v>
      </c>
      <c r="I277" s="1" t="s">
        <v>21</v>
      </c>
      <c r="J277" s="1" t="s">
        <v>43</v>
      </c>
      <c r="K277" s="1" t="s">
        <v>18</v>
      </c>
      <c r="L277" s="1">
        <v>0.0</v>
      </c>
    </row>
    <row r="278">
      <c r="A278" s="1" t="s">
        <v>584</v>
      </c>
      <c r="B278" s="1" t="s">
        <v>585</v>
      </c>
      <c r="C278" s="2">
        <v>45282.0</v>
      </c>
      <c r="D278" s="1">
        <v>5.2059742E7</v>
      </c>
      <c r="E278" s="1" t="s">
        <v>25</v>
      </c>
      <c r="F278" s="1" t="s">
        <v>15</v>
      </c>
      <c r="G278" s="1">
        <v>146.0</v>
      </c>
      <c r="H278" s="1">
        <v>1.0</v>
      </c>
      <c r="I278" s="1" t="s">
        <v>16</v>
      </c>
      <c r="J278" s="1" t="s">
        <v>39</v>
      </c>
      <c r="K278" s="1" t="s">
        <v>44</v>
      </c>
      <c r="L278" s="1">
        <v>0.0</v>
      </c>
    </row>
    <row r="279">
      <c r="A279" s="1" t="s">
        <v>586</v>
      </c>
      <c r="B279" s="1" t="s">
        <v>587</v>
      </c>
      <c r="C279" s="2">
        <v>45096.0</v>
      </c>
      <c r="D279" s="1">
        <v>1.2635825E7</v>
      </c>
      <c r="E279" s="1" t="s">
        <v>25</v>
      </c>
      <c r="F279" s="1" t="s">
        <v>15</v>
      </c>
      <c r="G279" s="1">
        <v>150.0</v>
      </c>
      <c r="H279" s="1">
        <v>0.0</v>
      </c>
      <c r="I279" s="1" t="s">
        <v>34</v>
      </c>
      <c r="J279" s="1" t="s">
        <v>22</v>
      </c>
      <c r="K279" s="1" t="s">
        <v>44</v>
      </c>
      <c r="L279" s="1">
        <v>0.0</v>
      </c>
    </row>
    <row r="280">
      <c r="A280" s="1" t="s">
        <v>588</v>
      </c>
      <c r="B280" s="1" t="s">
        <v>589</v>
      </c>
      <c r="C280" s="2">
        <v>45177.0</v>
      </c>
      <c r="D280" s="1">
        <v>2850481.0</v>
      </c>
      <c r="E280" s="1" t="s">
        <v>14</v>
      </c>
      <c r="F280" s="1" t="s">
        <v>42</v>
      </c>
      <c r="G280" s="1">
        <v>173.0</v>
      </c>
      <c r="H280" s="1">
        <v>1.0</v>
      </c>
      <c r="I280" s="1" t="s">
        <v>16</v>
      </c>
      <c r="J280" s="1" t="s">
        <v>43</v>
      </c>
      <c r="K280" s="1" t="s">
        <v>44</v>
      </c>
      <c r="L280" s="1">
        <v>0.0</v>
      </c>
    </row>
    <row r="281">
      <c r="A281" s="1" t="s">
        <v>590</v>
      </c>
      <c r="B281" s="1" t="s">
        <v>591</v>
      </c>
      <c r="C281" s="2">
        <v>45078.0</v>
      </c>
      <c r="D281" s="1">
        <v>6.6984726E7</v>
      </c>
      <c r="E281" s="1" t="s">
        <v>25</v>
      </c>
      <c r="F281" s="1" t="s">
        <v>33</v>
      </c>
      <c r="G281" s="1">
        <v>130.0</v>
      </c>
      <c r="H281" s="1">
        <v>0.0</v>
      </c>
      <c r="I281" s="1" t="s">
        <v>27</v>
      </c>
      <c r="J281" s="1" t="s">
        <v>43</v>
      </c>
      <c r="K281" s="1" t="s">
        <v>18</v>
      </c>
      <c r="L281" s="1">
        <v>0.0</v>
      </c>
    </row>
    <row r="282">
      <c r="A282" s="1" t="s">
        <v>592</v>
      </c>
      <c r="B282" s="1" t="s">
        <v>593</v>
      </c>
      <c r="C282" s="2">
        <v>45180.0</v>
      </c>
      <c r="D282" s="1">
        <v>7.5733926E7</v>
      </c>
      <c r="E282" s="1" t="s">
        <v>14</v>
      </c>
      <c r="F282" s="1" t="s">
        <v>26</v>
      </c>
      <c r="G282" s="1">
        <v>23.0</v>
      </c>
      <c r="H282" s="1">
        <v>1.0</v>
      </c>
      <c r="I282" s="1" t="s">
        <v>16</v>
      </c>
      <c r="J282" s="1" t="s">
        <v>22</v>
      </c>
      <c r="K282" s="1" t="s">
        <v>18</v>
      </c>
      <c r="L282" s="1">
        <v>0.0</v>
      </c>
    </row>
    <row r="283">
      <c r="A283" s="1" t="s">
        <v>594</v>
      </c>
      <c r="B283" s="1" t="s">
        <v>595</v>
      </c>
      <c r="C283" s="2">
        <v>45159.0</v>
      </c>
      <c r="D283" s="1">
        <v>1.8053487E7</v>
      </c>
      <c r="E283" s="1" t="s">
        <v>14</v>
      </c>
      <c r="F283" s="1" t="s">
        <v>38</v>
      </c>
      <c r="G283" s="1">
        <v>135.0</v>
      </c>
      <c r="H283" s="1">
        <v>1.0</v>
      </c>
      <c r="I283" s="1" t="s">
        <v>27</v>
      </c>
      <c r="J283" s="1" t="s">
        <v>39</v>
      </c>
      <c r="K283" s="1" t="s">
        <v>44</v>
      </c>
      <c r="L283" s="1">
        <v>0.0</v>
      </c>
    </row>
    <row r="284">
      <c r="A284" s="1" t="s">
        <v>596</v>
      </c>
      <c r="B284" s="1" t="s">
        <v>597</v>
      </c>
      <c r="C284" s="2">
        <v>45235.0</v>
      </c>
      <c r="D284" s="1">
        <v>9.2406223E7</v>
      </c>
      <c r="E284" s="1" t="s">
        <v>25</v>
      </c>
      <c r="F284" s="1" t="s">
        <v>38</v>
      </c>
      <c r="G284" s="1">
        <v>32.0</v>
      </c>
      <c r="H284" s="1">
        <v>1.0</v>
      </c>
      <c r="I284" s="1" t="s">
        <v>34</v>
      </c>
      <c r="J284" s="1" t="s">
        <v>22</v>
      </c>
      <c r="K284" s="1" t="s">
        <v>30</v>
      </c>
      <c r="L284" s="1">
        <v>0.0</v>
      </c>
    </row>
    <row r="285">
      <c r="A285" s="1" t="s">
        <v>598</v>
      </c>
      <c r="B285" s="1" t="s">
        <v>599</v>
      </c>
      <c r="C285" s="2">
        <v>45206.0</v>
      </c>
      <c r="D285" s="1">
        <v>6.5716328E7</v>
      </c>
      <c r="E285" s="1" t="s">
        <v>47</v>
      </c>
      <c r="F285" s="1" t="s">
        <v>42</v>
      </c>
      <c r="G285" s="1">
        <v>141.0</v>
      </c>
      <c r="H285" s="1">
        <v>1.0</v>
      </c>
      <c r="I285" s="1" t="s">
        <v>21</v>
      </c>
      <c r="J285" s="1" t="s">
        <v>43</v>
      </c>
      <c r="K285" s="1" t="s">
        <v>30</v>
      </c>
      <c r="L285" s="1">
        <v>1.0</v>
      </c>
    </row>
    <row r="286">
      <c r="A286" s="1" t="s">
        <v>600</v>
      </c>
      <c r="B286" s="1" t="s">
        <v>601</v>
      </c>
      <c r="C286" s="2">
        <v>45049.0</v>
      </c>
      <c r="D286" s="1">
        <v>4.9679878E7</v>
      </c>
      <c r="E286" s="1" t="s">
        <v>25</v>
      </c>
      <c r="F286" s="1" t="s">
        <v>33</v>
      </c>
      <c r="G286" s="1">
        <v>56.0</v>
      </c>
      <c r="H286" s="1">
        <v>1.0</v>
      </c>
      <c r="I286" s="1" t="s">
        <v>27</v>
      </c>
      <c r="J286" s="1" t="s">
        <v>22</v>
      </c>
      <c r="K286" s="1" t="s">
        <v>30</v>
      </c>
      <c r="L286" s="1">
        <v>0.0</v>
      </c>
    </row>
    <row r="287">
      <c r="A287" s="1" t="s">
        <v>602</v>
      </c>
      <c r="B287" s="1" t="s">
        <v>603</v>
      </c>
      <c r="C287" s="2">
        <v>45255.0</v>
      </c>
      <c r="D287" s="1">
        <v>2.5675092E7</v>
      </c>
      <c r="E287" s="1" t="s">
        <v>47</v>
      </c>
      <c r="F287" s="1" t="s">
        <v>33</v>
      </c>
      <c r="G287" s="1">
        <v>68.0</v>
      </c>
      <c r="H287" s="1">
        <v>0.0</v>
      </c>
      <c r="I287" s="1" t="s">
        <v>16</v>
      </c>
      <c r="J287" s="1" t="s">
        <v>17</v>
      </c>
      <c r="K287" s="1" t="s">
        <v>44</v>
      </c>
      <c r="L287" s="1">
        <v>0.0</v>
      </c>
    </row>
    <row r="288">
      <c r="A288" s="1" t="s">
        <v>604</v>
      </c>
      <c r="B288" s="1" t="s">
        <v>605</v>
      </c>
      <c r="C288" s="2">
        <v>44968.0</v>
      </c>
      <c r="D288" s="1">
        <v>8.8758541E7</v>
      </c>
      <c r="E288" s="1" t="s">
        <v>25</v>
      </c>
      <c r="F288" s="1" t="s">
        <v>33</v>
      </c>
      <c r="G288" s="1">
        <v>163.0</v>
      </c>
      <c r="H288" s="1">
        <v>1.0</v>
      </c>
      <c r="I288" s="1" t="s">
        <v>27</v>
      </c>
      <c r="J288" s="1" t="s">
        <v>22</v>
      </c>
      <c r="K288" s="1" t="s">
        <v>44</v>
      </c>
      <c r="L288" s="1">
        <v>0.0</v>
      </c>
    </row>
    <row r="289">
      <c r="A289" s="1" t="s">
        <v>606</v>
      </c>
      <c r="B289" s="1" t="s">
        <v>607</v>
      </c>
      <c r="C289" s="2">
        <v>45164.0</v>
      </c>
      <c r="D289" s="1">
        <v>1.1295143E7</v>
      </c>
      <c r="E289" s="1" t="s">
        <v>47</v>
      </c>
      <c r="F289" s="1" t="s">
        <v>33</v>
      </c>
      <c r="G289" s="1">
        <v>18.0</v>
      </c>
      <c r="H289" s="1">
        <v>1.0</v>
      </c>
      <c r="I289" s="1" t="s">
        <v>21</v>
      </c>
      <c r="J289" s="1" t="s">
        <v>17</v>
      </c>
      <c r="K289" s="1" t="s">
        <v>44</v>
      </c>
      <c r="L289" s="1">
        <v>0.0</v>
      </c>
    </row>
    <row r="290">
      <c r="A290" s="1" t="s">
        <v>608</v>
      </c>
      <c r="B290" s="1" t="s">
        <v>609</v>
      </c>
      <c r="C290" s="2">
        <v>45243.0</v>
      </c>
      <c r="D290" s="1">
        <v>5.2620744E7</v>
      </c>
      <c r="E290" s="1" t="s">
        <v>14</v>
      </c>
      <c r="F290" s="1" t="s">
        <v>38</v>
      </c>
      <c r="G290" s="1">
        <v>97.0</v>
      </c>
      <c r="H290" s="1">
        <v>1.0</v>
      </c>
      <c r="I290" s="1" t="s">
        <v>16</v>
      </c>
      <c r="J290" s="1" t="s">
        <v>39</v>
      </c>
      <c r="K290" s="1" t="s">
        <v>30</v>
      </c>
      <c r="L290" s="1">
        <v>0.0</v>
      </c>
    </row>
    <row r="291">
      <c r="A291" s="1" t="s">
        <v>610</v>
      </c>
      <c r="B291" s="1" t="s">
        <v>611</v>
      </c>
      <c r="C291" s="2">
        <v>45230.0</v>
      </c>
      <c r="D291" s="1">
        <v>3.6938285E7</v>
      </c>
      <c r="E291" s="1" t="s">
        <v>47</v>
      </c>
      <c r="F291" s="1" t="s">
        <v>38</v>
      </c>
      <c r="G291" s="1">
        <v>179.0</v>
      </c>
      <c r="H291" s="1">
        <v>1.0</v>
      </c>
      <c r="I291" s="1" t="s">
        <v>34</v>
      </c>
      <c r="J291" s="1" t="s">
        <v>39</v>
      </c>
      <c r="K291" s="1" t="s">
        <v>44</v>
      </c>
      <c r="L291" s="1">
        <v>0.0</v>
      </c>
    </row>
    <row r="292">
      <c r="A292" s="1" t="s">
        <v>612</v>
      </c>
      <c r="B292" s="1" t="s">
        <v>613</v>
      </c>
      <c r="C292" s="2">
        <v>45070.0</v>
      </c>
      <c r="D292" s="1">
        <v>4.2731535E7</v>
      </c>
      <c r="E292" s="1" t="s">
        <v>14</v>
      </c>
      <c r="F292" s="1" t="s">
        <v>38</v>
      </c>
      <c r="G292" s="1">
        <v>147.0</v>
      </c>
      <c r="H292" s="1">
        <v>1.0</v>
      </c>
      <c r="I292" s="1" t="s">
        <v>16</v>
      </c>
      <c r="J292" s="1" t="s">
        <v>35</v>
      </c>
      <c r="K292" s="1" t="s">
        <v>44</v>
      </c>
      <c r="L292" s="1">
        <v>0.0</v>
      </c>
    </row>
    <row r="293">
      <c r="A293" s="1" t="s">
        <v>614</v>
      </c>
      <c r="B293" s="1" t="s">
        <v>615</v>
      </c>
      <c r="C293" s="2">
        <v>44963.0</v>
      </c>
      <c r="D293" s="1">
        <v>8.3760013E7</v>
      </c>
      <c r="E293" s="1" t="s">
        <v>47</v>
      </c>
      <c r="F293" s="1" t="s">
        <v>15</v>
      </c>
      <c r="G293" s="1">
        <v>179.0</v>
      </c>
      <c r="H293" s="1">
        <v>0.0</v>
      </c>
      <c r="I293" s="1" t="s">
        <v>16</v>
      </c>
      <c r="J293" s="1" t="s">
        <v>43</v>
      </c>
      <c r="K293" s="1" t="s">
        <v>30</v>
      </c>
      <c r="L293" s="1">
        <v>0.0</v>
      </c>
    </row>
    <row r="294">
      <c r="A294" s="1" t="s">
        <v>616</v>
      </c>
      <c r="B294" s="1" t="s">
        <v>617</v>
      </c>
      <c r="C294" s="2">
        <v>45021.0</v>
      </c>
      <c r="D294" s="1">
        <v>3.0278882E7</v>
      </c>
      <c r="E294" s="1" t="s">
        <v>25</v>
      </c>
      <c r="F294" s="1" t="s">
        <v>33</v>
      </c>
      <c r="G294" s="1">
        <v>178.0</v>
      </c>
      <c r="H294" s="1">
        <v>0.0</v>
      </c>
      <c r="I294" s="1" t="s">
        <v>27</v>
      </c>
      <c r="J294" s="1" t="s">
        <v>43</v>
      </c>
      <c r="K294" s="1" t="s">
        <v>44</v>
      </c>
      <c r="L294" s="1">
        <v>0.0</v>
      </c>
    </row>
    <row r="295">
      <c r="A295" s="1" t="s">
        <v>618</v>
      </c>
      <c r="B295" s="1" t="s">
        <v>619</v>
      </c>
      <c r="C295" s="2">
        <v>45225.0</v>
      </c>
      <c r="D295" s="1">
        <v>6.0123244E7</v>
      </c>
      <c r="E295" s="1" t="s">
        <v>47</v>
      </c>
      <c r="F295" s="1" t="s">
        <v>33</v>
      </c>
      <c r="G295" s="1">
        <v>102.0</v>
      </c>
      <c r="H295" s="1">
        <v>1.0</v>
      </c>
      <c r="I295" s="1" t="s">
        <v>16</v>
      </c>
      <c r="J295" s="1" t="s">
        <v>22</v>
      </c>
      <c r="K295" s="1" t="s">
        <v>30</v>
      </c>
      <c r="L295" s="1">
        <v>0.0</v>
      </c>
    </row>
    <row r="296">
      <c r="A296" s="1" t="s">
        <v>620</v>
      </c>
      <c r="B296" s="1" t="s">
        <v>621</v>
      </c>
      <c r="C296" s="2">
        <v>45181.0</v>
      </c>
      <c r="D296" s="1">
        <v>5.2192104E7</v>
      </c>
      <c r="E296" s="1" t="s">
        <v>25</v>
      </c>
      <c r="F296" s="1" t="s">
        <v>38</v>
      </c>
      <c r="G296" s="1">
        <v>9.0</v>
      </c>
      <c r="H296" s="1">
        <v>0.0</v>
      </c>
      <c r="I296" s="1" t="s">
        <v>21</v>
      </c>
      <c r="J296" s="1" t="s">
        <v>43</v>
      </c>
      <c r="K296" s="1" t="s">
        <v>30</v>
      </c>
      <c r="L296" s="1">
        <v>0.0</v>
      </c>
    </row>
    <row r="297">
      <c r="A297" s="1" t="s">
        <v>622</v>
      </c>
      <c r="B297" s="1" t="s">
        <v>623</v>
      </c>
      <c r="C297" s="2">
        <v>44927.0</v>
      </c>
      <c r="D297" s="1">
        <v>3.4346242E7</v>
      </c>
      <c r="E297" s="1" t="s">
        <v>25</v>
      </c>
      <c r="F297" s="1" t="s">
        <v>15</v>
      </c>
      <c r="G297" s="1">
        <v>121.0</v>
      </c>
      <c r="H297" s="1">
        <v>1.0</v>
      </c>
      <c r="I297" s="1" t="s">
        <v>16</v>
      </c>
      <c r="J297" s="1" t="s">
        <v>39</v>
      </c>
      <c r="K297" s="1" t="s">
        <v>30</v>
      </c>
      <c r="L297" s="1">
        <v>0.0</v>
      </c>
    </row>
    <row r="298">
      <c r="A298" s="1" t="s">
        <v>624</v>
      </c>
      <c r="B298" s="1" t="s">
        <v>625</v>
      </c>
      <c r="C298" s="2">
        <v>45148.0</v>
      </c>
      <c r="D298" s="1">
        <v>4.4430986E7</v>
      </c>
      <c r="E298" s="1" t="s">
        <v>25</v>
      </c>
      <c r="F298" s="1" t="s">
        <v>38</v>
      </c>
      <c r="G298" s="1">
        <v>143.0</v>
      </c>
      <c r="H298" s="1">
        <v>0.0</v>
      </c>
      <c r="I298" s="1" t="s">
        <v>34</v>
      </c>
      <c r="J298" s="1" t="s">
        <v>17</v>
      </c>
      <c r="K298" s="1" t="s">
        <v>18</v>
      </c>
      <c r="L298" s="1">
        <v>0.0</v>
      </c>
    </row>
    <row r="299">
      <c r="A299" s="1" t="s">
        <v>626</v>
      </c>
      <c r="B299" s="1" t="s">
        <v>627</v>
      </c>
      <c r="C299" s="2">
        <v>44994.0</v>
      </c>
      <c r="D299" s="1">
        <v>7.1095813E7</v>
      </c>
      <c r="E299" s="1" t="s">
        <v>14</v>
      </c>
      <c r="F299" s="1" t="s">
        <v>26</v>
      </c>
      <c r="G299" s="1">
        <v>121.0</v>
      </c>
      <c r="H299" s="1">
        <v>1.0</v>
      </c>
      <c r="I299" s="1" t="s">
        <v>16</v>
      </c>
      <c r="J299" s="1" t="s">
        <v>35</v>
      </c>
      <c r="K299" s="1" t="s">
        <v>44</v>
      </c>
      <c r="L299" s="1">
        <v>0.0</v>
      </c>
    </row>
    <row r="300">
      <c r="A300" s="1" t="s">
        <v>628</v>
      </c>
      <c r="B300" s="1" t="s">
        <v>629</v>
      </c>
      <c r="C300" s="2">
        <v>45214.0</v>
      </c>
      <c r="D300" s="1">
        <v>7.0989533E7</v>
      </c>
      <c r="E300" s="1" t="s">
        <v>25</v>
      </c>
      <c r="F300" s="1" t="s">
        <v>26</v>
      </c>
      <c r="G300" s="1">
        <v>68.0</v>
      </c>
      <c r="H300" s="1">
        <v>0.0</v>
      </c>
      <c r="I300" s="1" t="s">
        <v>21</v>
      </c>
      <c r="J300" s="1" t="s">
        <v>35</v>
      </c>
      <c r="K300" s="1" t="s">
        <v>30</v>
      </c>
      <c r="L300" s="1">
        <v>0.0</v>
      </c>
    </row>
    <row r="301">
      <c r="A301" s="1" t="s">
        <v>630</v>
      </c>
      <c r="B301" s="1" t="s">
        <v>631</v>
      </c>
      <c r="C301" s="2">
        <v>45212.0</v>
      </c>
      <c r="D301" s="1">
        <v>4.2720331E7</v>
      </c>
      <c r="E301" s="1" t="s">
        <v>47</v>
      </c>
      <c r="F301" s="1" t="s">
        <v>42</v>
      </c>
      <c r="G301" s="1">
        <v>23.0</v>
      </c>
      <c r="H301" s="1">
        <v>1.0</v>
      </c>
      <c r="I301" s="1" t="s">
        <v>34</v>
      </c>
      <c r="J301" s="1" t="s">
        <v>22</v>
      </c>
      <c r="K301" s="1" t="s">
        <v>44</v>
      </c>
      <c r="L301" s="1">
        <v>1.0</v>
      </c>
    </row>
    <row r="302">
      <c r="A302" s="1" t="s">
        <v>632</v>
      </c>
      <c r="B302" s="1" t="s">
        <v>633</v>
      </c>
      <c r="C302" s="2">
        <v>44943.0</v>
      </c>
      <c r="D302" s="1">
        <v>3.6258017E7</v>
      </c>
      <c r="E302" s="1" t="s">
        <v>25</v>
      </c>
      <c r="F302" s="1" t="s">
        <v>33</v>
      </c>
      <c r="G302" s="1">
        <v>124.0</v>
      </c>
      <c r="H302" s="1">
        <v>0.0</v>
      </c>
      <c r="I302" s="1" t="s">
        <v>21</v>
      </c>
      <c r="J302" s="1" t="s">
        <v>22</v>
      </c>
      <c r="K302" s="1" t="s">
        <v>18</v>
      </c>
      <c r="L302" s="1">
        <v>0.0</v>
      </c>
    </row>
    <row r="303">
      <c r="A303" s="1" t="s">
        <v>634</v>
      </c>
      <c r="B303" s="1" t="s">
        <v>635</v>
      </c>
      <c r="C303" s="2">
        <v>45209.0</v>
      </c>
      <c r="D303" s="1">
        <v>3.9905864E7</v>
      </c>
      <c r="E303" s="1" t="s">
        <v>47</v>
      </c>
      <c r="F303" s="1" t="s">
        <v>42</v>
      </c>
      <c r="G303" s="1">
        <v>63.0</v>
      </c>
      <c r="H303" s="1">
        <v>1.0</v>
      </c>
      <c r="I303" s="1" t="s">
        <v>16</v>
      </c>
      <c r="J303" s="1" t="s">
        <v>17</v>
      </c>
      <c r="K303" s="1" t="s">
        <v>30</v>
      </c>
      <c r="L303" s="1">
        <v>0.0</v>
      </c>
    </row>
    <row r="304">
      <c r="A304" s="1" t="s">
        <v>636</v>
      </c>
      <c r="B304" s="1" t="s">
        <v>637</v>
      </c>
      <c r="C304" s="2">
        <v>45189.0</v>
      </c>
      <c r="D304" s="1">
        <v>4.096711E7</v>
      </c>
      <c r="E304" s="1" t="s">
        <v>47</v>
      </c>
      <c r="F304" s="1" t="s">
        <v>26</v>
      </c>
      <c r="G304" s="1">
        <v>146.0</v>
      </c>
      <c r="H304" s="1">
        <v>0.0</v>
      </c>
      <c r="I304" s="1" t="s">
        <v>27</v>
      </c>
      <c r="J304" s="1" t="s">
        <v>17</v>
      </c>
      <c r="K304" s="1" t="s">
        <v>44</v>
      </c>
      <c r="L304" s="1">
        <v>0.0</v>
      </c>
    </row>
    <row r="305">
      <c r="A305" s="1" t="s">
        <v>638</v>
      </c>
      <c r="B305" s="1" t="s">
        <v>639</v>
      </c>
      <c r="C305" s="2">
        <v>45160.0</v>
      </c>
      <c r="D305" s="1">
        <v>9.1090737E7</v>
      </c>
      <c r="E305" s="1" t="s">
        <v>14</v>
      </c>
      <c r="F305" s="1" t="s">
        <v>42</v>
      </c>
      <c r="G305" s="1">
        <v>17.0</v>
      </c>
      <c r="H305" s="1">
        <v>1.0</v>
      </c>
      <c r="I305" s="1" t="s">
        <v>16</v>
      </c>
      <c r="J305" s="1" t="s">
        <v>43</v>
      </c>
      <c r="K305" s="1" t="s">
        <v>18</v>
      </c>
      <c r="L305" s="1">
        <v>0.0</v>
      </c>
    </row>
    <row r="306">
      <c r="A306" s="1" t="s">
        <v>640</v>
      </c>
      <c r="B306" s="1" t="s">
        <v>641</v>
      </c>
      <c r="C306" s="2">
        <v>45194.0</v>
      </c>
      <c r="D306" s="1">
        <v>4.7312166E7</v>
      </c>
      <c r="E306" s="1" t="s">
        <v>25</v>
      </c>
      <c r="F306" s="1" t="s">
        <v>42</v>
      </c>
      <c r="G306" s="1">
        <v>162.0</v>
      </c>
      <c r="H306" s="1">
        <v>1.0</v>
      </c>
      <c r="I306" s="1" t="s">
        <v>16</v>
      </c>
      <c r="J306" s="1" t="s">
        <v>43</v>
      </c>
      <c r="K306" s="1" t="s">
        <v>44</v>
      </c>
      <c r="L306" s="1">
        <v>0.0</v>
      </c>
    </row>
    <row r="307">
      <c r="A307" s="1" t="s">
        <v>642</v>
      </c>
      <c r="B307" s="1" t="s">
        <v>643</v>
      </c>
      <c r="C307" s="2">
        <v>45264.0</v>
      </c>
      <c r="D307" s="1">
        <v>7.6719646E7</v>
      </c>
      <c r="E307" s="1" t="s">
        <v>25</v>
      </c>
      <c r="F307" s="1" t="s">
        <v>38</v>
      </c>
      <c r="G307" s="1">
        <v>83.0</v>
      </c>
      <c r="H307" s="1">
        <v>1.0</v>
      </c>
      <c r="I307" s="1" t="s">
        <v>21</v>
      </c>
      <c r="J307" s="1" t="s">
        <v>43</v>
      </c>
      <c r="K307" s="1" t="s">
        <v>30</v>
      </c>
      <c r="L307" s="1">
        <v>0.0</v>
      </c>
    </row>
    <row r="308">
      <c r="A308" s="1" t="s">
        <v>644</v>
      </c>
      <c r="B308" s="1" t="s">
        <v>645</v>
      </c>
      <c r="C308" s="2">
        <v>45238.0</v>
      </c>
      <c r="D308" s="1">
        <v>4.0334998E7</v>
      </c>
      <c r="E308" s="1" t="s">
        <v>25</v>
      </c>
      <c r="F308" s="1" t="s">
        <v>38</v>
      </c>
      <c r="G308" s="1">
        <v>109.0</v>
      </c>
      <c r="H308" s="1">
        <v>1.0</v>
      </c>
      <c r="I308" s="1" t="s">
        <v>21</v>
      </c>
      <c r="J308" s="1" t="s">
        <v>39</v>
      </c>
      <c r="K308" s="1" t="s">
        <v>18</v>
      </c>
      <c r="L308" s="1">
        <v>0.0</v>
      </c>
    </row>
    <row r="309">
      <c r="A309" s="1" t="s">
        <v>646</v>
      </c>
      <c r="B309" s="1" t="s">
        <v>647</v>
      </c>
      <c r="C309" s="2">
        <v>45226.0</v>
      </c>
      <c r="D309" s="1">
        <v>9.5747163E7</v>
      </c>
      <c r="E309" s="1" t="s">
        <v>47</v>
      </c>
      <c r="F309" s="1" t="s">
        <v>15</v>
      </c>
      <c r="G309" s="1">
        <v>82.0</v>
      </c>
      <c r="H309" s="1">
        <v>1.0</v>
      </c>
      <c r="I309" s="1" t="s">
        <v>27</v>
      </c>
      <c r="J309" s="1" t="s">
        <v>22</v>
      </c>
      <c r="K309" s="1" t="s">
        <v>18</v>
      </c>
      <c r="L309" s="1">
        <v>0.0</v>
      </c>
    </row>
    <row r="310">
      <c r="A310" s="1" t="s">
        <v>648</v>
      </c>
      <c r="B310" s="1" t="s">
        <v>649</v>
      </c>
      <c r="C310" s="2">
        <v>45250.0</v>
      </c>
      <c r="D310" s="1">
        <v>4.1408353E7</v>
      </c>
      <c r="E310" s="1" t="s">
        <v>14</v>
      </c>
      <c r="F310" s="1" t="s">
        <v>42</v>
      </c>
      <c r="G310" s="1">
        <v>142.0</v>
      </c>
      <c r="H310" s="1">
        <v>0.0</v>
      </c>
      <c r="I310" s="1" t="s">
        <v>34</v>
      </c>
      <c r="J310" s="1" t="s">
        <v>17</v>
      </c>
      <c r="K310" s="1" t="s">
        <v>44</v>
      </c>
      <c r="L310" s="1">
        <v>0.0</v>
      </c>
    </row>
    <row r="311">
      <c r="A311" s="1" t="s">
        <v>650</v>
      </c>
      <c r="B311" s="1" t="s">
        <v>651</v>
      </c>
      <c r="C311" s="2">
        <v>44947.0</v>
      </c>
      <c r="D311" s="1">
        <v>9.0673542E7</v>
      </c>
      <c r="E311" s="1" t="s">
        <v>47</v>
      </c>
      <c r="F311" s="1" t="s">
        <v>26</v>
      </c>
      <c r="G311" s="1">
        <v>179.0</v>
      </c>
      <c r="H311" s="1">
        <v>1.0</v>
      </c>
      <c r="I311" s="1" t="s">
        <v>27</v>
      </c>
      <c r="J311" s="1" t="s">
        <v>39</v>
      </c>
      <c r="K311" s="1" t="s">
        <v>18</v>
      </c>
      <c r="L311" s="1">
        <v>1.0</v>
      </c>
    </row>
    <row r="312">
      <c r="A312" s="1" t="s">
        <v>652</v>
      </c>
      <c r="B312" s="1" t="s">
        <v>653</v>
      </c>
      <c r="C312" s="2">
        <v>45046.0</v>
      </c>
      <c r="D312" s="1">
        <v>4.0150765E7</v>
      </c>
      <c r="E312" s="1" t="s">
        <v>47</v>
      </c>
      <c r="F312" s="1" t="s">
        <v>42</v>
      </c>
      <c r="G312" s="1">
        <v>81.0</v>
      </c>
      <c r="H312" s="1">
        <v>0.0</v>
      </c>
      <c r="I312" s="1" t="s">
        <v>34</v>
      </c>
      <c r="J312" s="1" t="s">
        <v>39</v>
      </c>
      <c r="K312" s="1" t="s">
        <v>44</v>
      </c>
      <c r="L312" s="1">
        <v>0.0</v>
      </c>
    </row>
    <row r="313">
      <c r="A313" s="1" t="s">
        <v>654</v>
      </c>
      <c r="B313" s="1" t="s">
        <v>655</v>
      </c>
      <c r="C313" s="2">
        <v>45197.0</v>
      </c>
      <c r="D313" s="1">
        <v>1158007.0</v>
      </c>
      <c r="E313" s="1" t="s">
        <v>25</v>
      </c>
      <c r="F313" s="1" t="s">
        <v>42</v>
      </c>
      <c r="G313" s="1">
        <v>162.0</v>
      </c>
      <c r="H313" s="1">
        <v>1.0</v>
      </c>
      <c r="I313" s="1" t="s">
        <v>16</v>
      </c>
      <c r="J313" s="1" t="s">
        <v>39</v>
      </c>
      <c r="K313" s="1" t="s">
        <v>18</v>
      </c>
      <c r="L313" s="1">
        <v>0.0</v>
      </c>
    </row>
    <row r="314">
      <c r="A314" s="1" t="s">
        <v>656</v>
      </c>
      <c r="B314" s="1" t="s">
        <v>657</v>
      </c>
      <c r="C314" s="2">
        <v>45197.0</v>
      </c>
      <c r="D314" s="1">
        <v>6.543075E7</v>
      </c>
      <c r="E314" s="1" t="s">
        <v>14</v>
      </c>
      <c r="F314" s="1" t="s">
        <v>15</v>
      </c>
      <c r="G314" s="1">
        <v>114.0</v>
      </c>
      <c r="H314" s="1">
        <v>1.0</v>
      </c>
      <c r="I314" s="1" t="s">
        <v>34</v>
      </c>
      <c r="J314" s="1" t="s">
        <v>35</v>
      </c>
      <c r="K314" s="1" t="s">
        <v>18</v>
      </c>
      <c r="L314" s="1">
        <v>1.0</v>
      </c>
    </row>
    <row r="315">
      <c r="A315" s="1" t="s">
        <v>658</v>
      </c>
      <c r="B315" s="1" t="s">
        <v>659</v>
      </c>
      <c r="C315" s="2">
        <v>45007.0</v>
      </c>
      <c r="D315" s="1">
        <v>5901616.0</v>
      </c>
      <c r="E315" s="1" t="s">
        <v>25</v>
      </c>
      <c r="F315" s="1" t="s">
        <v>26</v>
      </c>
      <c r="G315" s="1">
        <v>80.0</v>
      </c>
      <c r="H315" s="1">
        <v>1.0</v>
      </c>
      <c r="I315" s="1" t="s">
        <v>21</v>
      </c>
      <c r="J315" s="1" t="s">
        <v>17</v>
      </c>
      <c r="K315" s="1" t="s">
        <v>30</v>
      </c>
      <c r="L315" s="1">
        <v>0.0</v>
      </c>
    </row>
    <row r="316">
      <c r="A316" s="1" t="s">
        <v>660</v>
      </c>
      <c r="B316" s="1" t="s">
        <v>661</v>
      </c>
      <c r="C316" s="2">
        <v>45157.0</v>
      </c>
      <c r="D316" s="1">
        <v>8.2992774E7</v>
      </c>
      <c r="E316" s="1" t="s">
        <v>14</v>
      </c>
      <c r="F316" s="1" t="s">
        <v>15</v>
      </c>
      <c r="G316" s="1">
        <v>118.0</v>
      </c>
      <c r="H316" s="1">
        <v>1.0</v>
      </c>
      <c r="I316" s="1" t="s">
        <v>16</v>
      </c>
      <c r="J316" s="1" t="s">
        <v>39</v>
      </c>
      <c r="K316" s="1" t="s">
        <v>44</v>
      </c>
      <c r="L316" s="1">
        <v>0.0</v>
      </c>
    </row>
    <row r="317">
      <c r="A317" s="1" t="s">
        <v>662</v>
      </c>
      <c r="B317" s="1" t="s">
        <v>663</v>
      </c>
      <c r="C317" s="2">
        <v>44970.0</v>
      </c>
      <c r="D317" s="1">
        <v>3.8179549E7</v>
      </c>
      <c r="E317" s="1" t="s">
        <v>25</v>
      </c>
      <c r="F317" s="1" t="s">
        <v>38</v>
      </c>
      <c r="G317" s="1">
        <v>157.0</v>
      </c>
      <c r="H317" s="1">
        <v>1.0</v>
      </c>
      <c r="I317" s="1" t="s">
        <v>34</v>
      </c>
      <c r="J317" s="1" t="s">
        <v>17</v>
      </c>
      <c r="K317" s="1" t="s">
        <v>44</v>
      </c>
      <c r="L317" s="1">
        <v>0.0</v>
      </c>
    </row>
    <row r="318">
      <c r="A318" s="1" t="s">
        <v>664</v>
      </c>
      <c r="B318" s="1" t="s">
        <v>665</v>
      </c>
      <c r="C318" s="2">
        <v>45082.0</v>
      </c>
      <c r="D318" s="1">
        <v>6.8975876E7</v>
      </c>
      <c r="E318" s="1" t="s">
        <v>47</v>
      </c>
      <c r="F318" s="1" t="s">
        <v>38</v>
      </c>
      <c r="G318" s="1">
        <v>64.0</v>
      </c>
      <c r="H318" s="1">
        <v>0.0</v>
      </c>
      <c r="I318" s="1" t="s">
        <v>34</v>
      </c>
      <c r="J318" s="1" t="s">
        <v>39</v>
      </c>
      <c r="K318" s="1" t="s">
        <v>30</v>
      </c>
      <c r="L318" s="1">
        <v>0.0</v>
      </c>
    </row>
    <row r="319">
      <c r="A319" s="1" t="s">
        <v>666</v>
      </c>
      <c r="B319" s="1" t="s">
        <v>667</v>
      </c>
      <c r="C319" s="2">
        <v>45285.0</v>
      </c>
      <c r="D319" s="1">
        <v>5.7805856E7</v>
      </c>
      <c r="E319" s="1" t="s">
        <v>47</v>
      </c>
      <c r="F319" s="1" t="s">
        <v>33</v>
      </c>
      <c r="G319" s="1">
        <v>148.0</v>
      </c>
      <c r="H319" s="1">
        <v>1.0</v>
      </c>
      <c r="I319" s="1" t="s">
        <v>34</v>
      </c>
      <c r="J319" s="1" t="s">
        <v>22</v>
      </c>
      <c r="K319" s="1" t="s">
        <v>30</v>
      </c>
      <c r="L319" s="1">
        <v>0.0</v>
      </c>
    </row>
    <row r="320">
      <c r="A320" s="1" t="s">
        <v>668</v>
      </c>
      <c r="B320" s="1" t="s">
        <v>669</v>
      </c>
      <c r="C320" s="2">
        <v>45142.0</v>
      </c>
      <c r="D320" s="1">
        <v>7.1829685E7</v>
      </c>
      <c r="E320" s="1" t="s">
        <v>14</v>
      </c>
      <c r="F320" s="1" t="s">
        <v>38</v>
      </c>
      <c r="G320" s="1">
        <v>165.0</v>
      </c>
      <c r="H320" s="1">
        <v>1.0</v>
      </c>
      <c r="I320" s="1" t="s">
        <v>16</v>
      </c>
      <c r="J320" s="1" t="s">
        <v>17</v>
      </c>
      <c r="K320" s="1" t="s">
        <v>30</v>
      </c>
      <c r="L320" s="1">
        <v>0.0</v>
      </c>
    </row>
    <row r="321">
      <c r="A321" s="1" t="s">
        <v>670</v>
      </c>
      <c r="B321" s="1" t="s">
        <v>671</v>
      </c>
      <c r="C321" s="2">
        <v>44950.0</v>
      </c>
      <c r="D321" s="1">
        <v>1.3868499E7</v>
      </c>
      <c r="E321" s="1" t="s">
        <v>14</v>
      </c>
      <c r="F321" s="1" t="s">
        <v>15</v>
      </c>
      <c r="G321" s="1">
        <v>120.0</v>
      </c>
      <c r="H321" s="1">
        <v>0.0</v>
      </c>
      <c r="I321" s="1" t="s">
        <v>16</v>
      </c>
      <c r="J321" s="1" t="s">
        <v>35</v>
      </c>
      <c r="K321" s="1" t="s">
        <v>30</v>
      </c>
      <c r="L321" s="1">
        <v>0.0</v>
      </c>
    </row>
    <row r="322">
      <c r="A322" s="1" t="s">
        <v>672</v>
      </c>
      <c r="B322" s="1" t="s">
        <v>673</v>
      </c>
      <c r="C322" s="2">
        <v>45217.0</v>
      </c>
      <c r="D322" s="1">
        <v>7.9513715E7</v>
      </c>
      <c r="E322" s="1" t="s">
        <v>14</v>
      </c>
      <c r="F322" s="1" t="s">
        <v>38</v>
      </c>
      <c r="G322" s="1">
        <v>113.0</v>
      </c>
      <c r="H322" s="1">
        <v>0.0</v>
      </c>
      <c r="I322" s="1" t="s">
        <v>16</v>
      </c>
      <c r="J322" s="1" t="s">
        <v>35</v>
      </c>
      <c r="K322" s="1" t="s">
        <v>18</v>
      </c>
      <c r="L322" s="1">
        <v>0.0</v>
      </c>
    </row>
    <row r="323">
      <c r="A323" s="1" t="s">
        <v>674</v>
      </c>
      <c r="B323" s="1" t="s">
        <v>675</v>
      </c>
      <c r="C323" s="2">
        <v>45215.0</v>
      </c>
      <c r="D323" s="1">
        <v>8.4342195E7</v>
      </c>
      <c r="E323" s="1" t="s">
        <v>14</v>
      </c>
      <c r="F323" s="1" t="s">
        <v>33</v>
      </c>
      <c r="G323" s="1">
        <v>119.0</v>
      </c>
      <c r="H323" s="1">
        <v>1.0</v>
      </c>
      <c r="I323" s="1" t="s">
        <v>34</v>
      </c>
      <c r="J323" s="1" t="s">
        <v>35</v>
      </c>
      <c r="K323" s="1" t="s">
        <v>18</v>
      </c>
      <c r="L323" s="1">
        <v>0.0</v>
      </c>
    </row>
    <row r="324">
      <c r="A324" s="1" t="s">
        <v>676</v>
      </c>
      <c r="B324" s="1" t="s">
        <v>677</v>
      </c>
      <c r="C324" s="2">
        <v>45248.0</v>
      </c>
      <c r="D324" s="1">
        <v>518932.0</v>
      </c>
      <c r="E324" s="1" t="s">
        <v>14</v>
      </c>
      <c r="F324" s="1" t="s">
        <v>38</v>
      </c>
      <c r="G324" s="1">
        <v>118.0</v>
      </c>
      <c r="H324" s="1">
        <v>1.0</v>
      </c>
      <c r="I324" s="1" t="s">
        <v>21</v>
      </c>
      <c r="J324" s="1" t="s">
        <v>22</v>
      </c>
      <c r="K324" s="1" t="s">
        <v>30</v>
      </c>
      <c r="L324" s="1">
        <v>0.0</v>
      </c>
    </row>
    <row r="325">
      <c r="A325" s="1" t="s">
        <v>678</v>
      </c>
      <c r="B325" s="1" t="s">
        <v>679</v>
      </c>
      <c r="C325" s="2">
        <v>45205.0</v>
      </c>
      <c r="D325" s="1">
        <v>1.5639608E7</v>
      </c>
      <c r="E325" s="1" t="s">
        <v>14</v>
      </c>
      <c r="F325" s="1" t="s">
        <v>15</v>
      </c>
      <c r="G325" s="1">
        <v>16.0</v>
      </c>
      <c r="H325" s="1">
        <v>0.0</v>
      </c>
      <c r="I325" s="1" t="s">
        <v>21</v>
      </c>
      <c r="J325" s="1" t="s">
        <v>39</v>
      </c>
      <c r="K325" s="1" t="s">
        <v>44</v>
      </c>
      <c r="L325" s="1">
        <v>0.0</v>
      </c>
    </row>
    <row r="326">
      <c r="A326" s="1" t="s">
        <v>680</v>
      </c>
      <c r="B326" s="1" t="s">
        <v>681</v>
      </c>
      <c r="C326" s="2">
        <v>45204.0</v>
      </c>
      <c r="D326" s="1">
        <v>506809.0</v>
      </c>
      <c r="E326" s="1" t="s">
        <v>25</v>
      </c>
      <c r="F326" s="1" t="s">
        <v>26</v>
      </c>
      <c r="G326" s="1">
        <v>20.0</v>
      </c>
      <c r="H326" s="1">
        <v>1.0</v>
      </c>
      <c r="I326" s="1" t="s">
        <v>16</v>
      </c>
      <c r="J326" s="1" t="s">
        <v>35</v>
      </c>
      <c r="K326" s="1" t="s">
        <v>30</v>
      </c>
      <c r="L326" s="1">
        <v>0.0</v>
      </c>
    </row>
    <row r="327">
      <c r="A327" s="1" t="s">
        <v>682</v>
      </c>
      <c r="B327" s="1" t="s">
        <v>683</v>
      </c>
      <c r="C327" s="2">
        <v>44995.0</v>
      </c>
      <c r="D327" s="1">
        <v>6.2303118E7</v>
      </c>
      <c r="E327" s="1" t="s">
        <v>14</v>
      </c>
      <c r="F327" s="1" t="s">
        <v>38</v>
      </c>
      <c r="G327" s="1">
        <v>30.0</v>
      </c>
      <c r="H327" s="1">
        <v>1.0</v>
      </c>
      <c r="I327" s="1" t="s">
        <v>21</v>
      </c>
      <c r="J327" s="1" t="s">
        <v>35</v>
      </c>
      <c r="K327" s="1" t="s">
        <v>18</v>
      </c>
      <c r="L327" s="1">
        <v>0.0</v>
      </c>
    </row>
    <row r="328">
      <c r="A328" s="1" t="s">
        <v>684</v>
      </c>
      <c r="B328" s="1" t="s">
        <v>685</v>
      </c>
      <c r="C328" s="2">
        <v>45228.0</v>
      </c>
      <c r="D328" s="1">
        <v>5594160.0</v>
      </c>
      <c r="E328" s="1" t="s">
        <v>25</v>
      </c>
      <c r="F328" s="1" t="s">
        <v>15</v>
      </c>
      <c r="G328" s="1">
        <v>26.0</v>
      </c>
      <c r="H328" s="1">
        <v>1.0</v>
      </c>
      <c r="I328" s="1" t="s">
        <v>27</v>
      </c>
      <c r="J328" s="1" t="s">
        <v>35</v>
      </c>
      <c r="K328" s="1" t="s">
        <v>44</v>
      </c>
      <c r="L328" s="1">
        <v>0.0</v>
      </c>
    </row>
    <row r="329">
      <c r="A329" s="1" t="s">
        <v>686</v>
      </c>
      <c r="B329" s="1" t="s">
        <v>687</v>
      </c>
      <c r="C329" s="2">
        <v>45207.0</v>
      </c>
      <c r="D329" s="1">
        <v>2.0365547E7</v>
      </c>
      <c r="E329" s="1" t="s">
        <v>25</v>
      </c>
      <c r="F329" s="1" t="s">
        <v>42</v>
      </c>
      <c r="G329" s="1">
        <v>155.0</v>
      </c>
      <c r="H329" s="1">
        <v>1.0</v>
      </c>
      <c r="I329" s="1" t="s">
        <v>16</v>
      </c>
      <c r="J329" s="1" t="s">
        <v>35</v>
      </c>
      <c r="K329" s="1" t="s">
        <v>44</v>
      </c>
      <c r="L329" s="1">
        <v>1.0</v>
      </c>
    </row>
    <row r="330">
      <c r="A330" s="1" t="s">
        <v>688</v>
      </c>
      <c r="B330" s="1" t="s">
        <v>689</v>
      </c>
      <c r="C330" s="2">
        <v>45269.0</v>
      </c>
      <c r="D330" s="1">
        <v>3.9361998E7</v>
      </c>
      <c r="E330" s="1" t="s">
        <v>47</v>
      </c>
      <c r="F330" s="1" t="s">
        <v>15</v>
      </c>
      <c r="G330" s="1">
        <v>96.0</v>
      </c>
      <c r="H330" s="1">
        <v>0.0</v>
      </c>
      <c r="I330" s="1" t="s">
        <v>34</v>
      </c>
      <c r="J330" s="1" t="s">
        <v>17</v>
      </c>
      <c r="K330" s="1" t="s">
        <v>18</v>
      </c>
      <c r="L330" s="1">
        <v>0.0</v>
      </c>
    </row>
    <row r="331">
      <c r="A331" s="1" t="s">
        <v>690</v>
      </c>
      <c r="B331" s="1" t="s">
        <v>691</v>
      </c>
      <c r="C331" s="2">
        <v>45200.0</v>
      </c>
      <c r="D331" s="1">
        <v>9.8471751E7</v>
      </c>
      <c r="E331" s="1" t="s">
        <v>47</v>
      </c>
      <c r="F331" s="1" t="s">
        <v>26</v>
      </c>
      <c r="G331" s="1">
        <v>113.0</v>
      </c>
      <c r="H331" s="1">
        <v>0.0</v>
      </c>
      <c r="I331" s="1" t="s">
        <v>16</v>
      </c>
      <c r="J331" s="1" t="s">
        <v>22</v>
      </c>
      <c r="K331" s="1" t="s">
        <v>18</v>
      </c>
      <c r="L331" s="1">
        <v>0.0</v>
      </c>
    </row>
    <row r="332">
      <c r="A332" s="1" t="s">
        <v>692</v>
      </c>
      <c r="B332" s="1" t="s">
        <v>693</v>
      </c>
      <c r="C332" s="2">
        <v>45063.0</v>
      </c>
      <c r="D332" s="1">
        <v>3.9530318E7</v>
      </c>
      <c r="E332" s="1" t="s">
        <v>14</v>
      </c>
      <c r="F332" s="1" t="s">
        <v>38</v>
      </c>
      <c r="G332" s="1">
        <v>96.0</v>
      </c>
      <c r="H332" s="1">
        <v>0.0</v>
      </c>
      <c r="I332" s="1" t="s">
        <v>34</v>
      </c>
      <c r="J332" s="1" t="s">
        <v>35</v>
      </c>
      <c r="K332" s="1" t="s">
        <v>18</v>
      </c>
      <c r="L332" s="1">
        <v>0.0</v>
      </c>
    </row>
    <row r="333">
      <c r="A333" s="1" t="s">
        <v>694</v>
      </c>
      <c r="B333" s="1" t="s">
        <v>695</v>
      </c>
      <c r="C333" s="2">
        <v>45188.0</v>
      </c>
      <c r="D333" s="1">
        <v>2598284.0</v>
      </c>
      <c r="E333" s="1" t="s">
        <v>25</v>
      </c>
      <c r="F333" s="1" t="s">
        <v>15</v>
      </c>
      <c r="G333" s="1">
        <v>112.0</v>
      </c>
      <c r="H333" s="1">
        <v>1.0</v>
      </c>
      <c r="I333" s="1" t="s">
        <v>34</v>
      </c>
      <c r="J333" s="1" t="s">
        <v>35</v>
      </c>
      <c r="K333" s="1" t="s">
        <v>44</v>
      </c>
      <c r="L333" s="1">
        <v>0.0</v>
      </c>
    </row>
    <row r="334">
      <c r="A334" s="1" t="s">
        <v>696</v>
      </c>
      <c r="B334" s="1" t="s">
        <v>697</v>
      </c>
      <c r="C334" s="2">
        <v>45152.0</v>
      </c>
      <c r="D334" s="1">
        <v>2.7258354E7</v>
      </c>
      <c r="E334" s="1" t="s">
        <v>47</v>
      </c>
      <c r="F334" s="1" t="s">
        <v>33</v>
      </c>
      <c r="G334" s="1">
        <v>108.0</v>
      </c>
      <c r="H334" s="1">
        <v>1.0</v>
      </c>
      <c r="I334" s="1" t="s">
        <v>34</v>
      </c>
      <c r="J334" s="1" t="s">
        <v>35</v>
      </c>
      <c r="K334" s="1" t="s">
        <v>44</v>
      </c>
      <c r="L334" s="1">
        <v>0.0</v>
      </c>
    </row>
    <row r="335">
      <c r="A335" s="1" t="s">
        <v>698</v>
      </c>
      <c r="B335" s="1" t="s">
        <v>699</v>
      </c>
      <c r="C335" s="2">
        <v>45269.0</v>
      </c>
      <c r="D335" s="1">
        <v>2.9159956E7</v>
      </c>
      <c r="E335" s="1" t="s">
        <v>47</v>
      </c>
      <c r="F335" s="1" t="s">
        <v>42</v>
      </c>
      <c r="G335" s="1">
        <v>104.0</v>
      </c>
      <c r="H335" s="1">
        <v>1.0</v>
      </c>
      <c r="I335" s="1" t="s">
        <v>16</v>
      </c>
      <c r="J335" s="1" t="s">
        <v>17</v>
      </c>
      <c r="K335" s="1" t="s">
        <v>44</v>
      </c>
      <c r="L335" s="1">
        <v>1.0</v>
      </c>
    </row>
    <row r="336">
      <c r="A336" s="1" t="s">
        <v>700</v>
      </c>
      <c r="B336" s="1" t="s">
        <v>701</v>
      </c>
      <c r="C336" s="2">
        <v>45177.0</v>
      </c>
      <c r="D336" s="1">
        <v>2.8435631E7</v>
      </c>
      <c r="E336" s="1" t="s">
        <v>25</v>
      </c>
      <c r="F336" s="1" t="s">
        <v>42</v>
      </c>
      <c r="G336" s="1">
        <v>163.0</v>
      </c>
      <c r="H336" s="1">
        <v>1.0</v>
      </c>
      <c r="I336" s="1" t="s">
        <v>27</v>
      </c>
      <c r="J336" s="1" t="s">
        <v>35</v>
      </c>
      <c r="K336" s="1" t="s">
        <v>30</v>
      </c>
      <c r="L336" s="1">
        <v>0.0</v>
      </c>
    </row>
    <row r="337">
      <c r="A337" s="1" t="s">
        <v>702</v>
      </c>
      <c r="B337" s="1" t="s">
        <v>703</v>
      </c>
      <c r="C337" s="2">
        <v>45009.0</v>
      </c>
      <c r="D337" s="1">
        <v>1.6502963E7</v>
      </c>
      <c r="E337" s="1" t="s">
        <v>25</v>
      </c>
      <c r="F337" s="1" t="s">
        <v>38</v>
      </c>
      <c r="G337" s="1">
        <v>174.0</v>
      </c>
      <c r="H337" s="1">
        <v>1.0</v>
      </c>
      <c r="I337" s="1" t="s">
        <v>21</v>
      </c>
      <c r="J337" s="1" t="s">
        <v>35</v>
      </c>
      <c r="K337" s="1" t="s">
        <v>30</v>
      </c>
      <c r="L337" s="1">
        <v>0.0</v>
      </c>
    </row>
    <row r="338">
      <c r="A338" s="1" t="s">
        <v>704</v>
      </c>
      <c r="B338" s="1" t="s">
        <v>705</v>
      </c>
      <c r="C338" s="2">
        <v>45193.0</v>
      </c>
      <c r="D338" s="1">
        <v>2.0303723E7</v>
      </c>
      <c r="E338" s="1" t="s">
        <v>25</v>
      </c>
      <c r="F338" s="1" t="s">
        <v>42</v>
      </c>
      <c r="G338" s="1">
        <v>142.0</v>
      </c>
      <c r="H338" s="1">
        <v>1.0</v>
      </c>
      <c r="I338" s="1" t="s">
        <v>16</v>
      </c>
      <c r="J338" s="1" t="s">
        <v>22</v>
      </c>
      <c r="K338" s="1" t="s">
        <v>18</v>
      </c>
      <c r="L338" s="1">
        <v>0.0</v>
      </c>
    </row>
    <row r="339">
      <c r="A339" s="1" t="s">
        <v>706</v>
      </c>
      <c r="B339" s="1" t="s">
        <v>707</v>
      </c>
      <c r="C339" s="2">
        <v>44989.0</v>
      </c>
      <c r="D339" s="1">
        <v>9855083.0</v>
      </c>
      <c r="E339" s="1" t="s">
        <v>14</v>
      </c>
      <c r="F339" s="1" t="s">
        <v>26</v>
      </c>
      <c r="G339" s="1">
        <v>123.0</v>
      </c>
      <c r="H339" s="1">
        <v>1.0</v>
      </c>
      <c r="I339" s="1" t="s">
        <v>27</v>
      </c>
      <c r="J339" s="1" t="s">
        <v>43</v>
      </c>
      <c r="K339" s="1" t="s">
        <v>44</v>
      </c>
      <c r="L339" s="1">
        <v>0.0</v>
      </c>
    </row>
    <row r="340">
      <c r="A340" s="1" t="s">
        <v>708</v>
      </c>
      <c r="B340" s="1" t="s">
        <v>709</v>
      </c>
      <c r="C340" s="2">
        <v>44956.0</v>
      </c>
      <c r="D340" s="1">
        <v>9.2840751E7</v>
      </c>
      <c r="E340" s="1" t="s">
        <v>47</v>
      </c>
      <c r="F340" s="1" t="s">
        <v>33</v>
      </c>
      <c r="G340" s="1">
        <v>57.0</v>
      </c>
      <c r="H340" s="1">
        <v>1.0</v>
      </c>
      <c r="I340" s="1" t="s">
        <v>34</v>
      </c>
      <c r="J340" s="1" t="s">
        <v>43</v>
      </c>
      <c r="K340" s="1" t="s">
        <v>18</v>
      </c>
      <c r="L340" s="1">
        <v>0.0</v>
      </c>
    </row>
    <row r="341">
      <c r="A341" s="1" t="s">
        <v>710</v>
      </c>
      <c r="B341" s="1" t="s">
        <v>711</v>
      </c>
      <c r="C341" s="2">
        <v>45066.0</v>
      </c>
      <c r="D341" s="1">
        <v>3.5087052E7</v>
      </c>
      <c r="E341" s="1" t="s">
        <v>25</v>
      </c>
      <c r="F341" s="1" t="s">
        <v>15</v>
      </c>
      <c r="G341" s="1">
        <v>48.0</v>
      </c>
      <c r="H341" s="1">
        <v>1.0</v>
      </c>
      <c r="I341" s="1" t="s">
        <v>34</v>
      </c>
      <c r="J341" s="1" t="s">
        <v>35</v>
      </c>
      <c r="K341" s="1" t="s">
        <v>18</v>
      </c>
      <c r="L341" s="1">
        <v>0.0</v>
      </c>
    </row>
    <row r="342">
      <c r="A342" s="1" t="s">
        <v>712</v>
      </c>
      <c r="B342" s="1" t="s">
        <v>713</v>
      </c>
      <c r="C342" s="2">
        <v>45085.0</v>
      </c>
      <c r="D342" s="1">
        <v>4.3209248E7</v>
      </c>
      <c r="E342" s="1" t="s">
        <v>25</v>
      </c>
      <c r="F342" s="1" t="s">
        <v>38</v>
      </c>
      <c r="G342" s="1">
        <v>86.0</v>
      </c>
      <c r="H342" s="1">
        <v>1.0</v>
      </c>
      <c r="I342" s="1" t="s">
        <v>27</v>
      </c>
      <c r="J342" s="1" t="s">
        <v>43</v>
      </c>
      <c r="K342" s="1" t="s">
        <v>44</v>
      </c>
      <c r="L342" s="1">
        <v>1.0</v>
      </c>
    </row>
    <row r="343">
      <c r="A343" s="1" t="s">
        <v>714</v>
      </c>
      <c r="B343" s="1" t="s">
        <v>715</v>
      </c>
      <c r="C343" s="2">
        <v>45254.0</v>
      </c>
      <c r="D343" s="1">
        <v>4.2269717E7</v>
      </c>
      <c r="E343" s="1" t="s">
        <v>47</v>
      </c>
      <c r="F343" s="1" t="s">
        <v>33</v>
      </c>
      <c r="G343" s="1">
        <v>149.0</v>
      </c>
      <c r="H343" s="1">
        <v>1.0</v>
      </c>
      <c r="I343" s="1" t="s">
        <v>34</v>
      </c>
      <c r="J343" s="1" t="s">
        <v>17</v>
      </c>
      <c r="K343" s="1" t="s">
        <v>18</v>
      </c>
      <c r="L343" s="1">
        <v>0.0</v>
      </c>
    </row>
    <row r="344">
      <c r="A344" s="1" t="s">
        <v>716</v>
      </c>
      <c r="B344" s="1" t="s">
        <v>717</v>
      </c>
      <c r="C344" s="2">
        <v>44985.0</v>
      </c>
      <c r="D344" s="1">
        <v>6.9257834E7</v>
      </c>
      <c r="E344" s="1" t="s">
        <v>14</v>
      </c>
      <c r="F344" s="1" t="s">
        <v>42</v>
      </c>
      <c r="G344" s="1">
        <v>69.0</v>
      </c>
      <c r="H344" s="1">
        <v>1.0</v>
      </c>
      <c r="I344" s="1" t="s">
        <v>21</v>
      </c>
      <c r="J344" s="1" t="s">
        <v>39</v>
      </c>
      <c r="K344" s="1" t="s">
        <v>44</v>
      </c>
      <c r="L344" s="1">
        <v>0.0</v>
      </c>
    </row>
    <row r="345">
      <c r="A345" s="1" t="s">
        <v>718</v>
      </c>
      <c r="B345" s="1" t="s">
        <v>719</v>
      </c>
      <c r="C345" s="2">
        <v>44969.0</v>
      </c>
      <c r="D345" s="1">
        <v>5.6830644E7</v>
      </c>
      <c r="E345" s="1" t="s">
        <v>25</v>
      </c>
      <c r="F345" s="1" t="s">
        <v>38</v>
      </c>
      <c r="G345" s="1">
        <v>31.0</v>
      </c>
      <c r="H345" s="1">
        <v>1.0</v>
      </c>
      <c r="I345" s="1" t="s">
        <v>34</v>
      </c>
      <c r="J345" s="1" t="s">
        <v>35</v>
      </c>
      <c r="K345" s="1" t="s">
        <v>18</v>
      </c>
      <c r="L345" s="1">
        <v>0.0</v>
      </c>
    </row>
    <row r="346">
      <c r="A346" s="1" t="s">
        <v>720</v>
      </c>
      <c r="B346" s="1" t="s">
        <v>721</v>
      </c>
      <c r="C346" s="2">
        <v>45254.0</v>
      </c>
      <c r="D346" s="1">
        <v>5.7184845E7</v>
      </c>
      <c r="E346" s="1" t="s">
        <v>47</v>
      </c>
      <c r="F346" s="1" t="s">
        <v>15</v>
      </c>
      <c r="G346" s="1">
        <v>140.0</v>
      </c>
      <c r="H346" s="1">
        <v>0.0</v>
      </c>
      <c r="I346" s="1" t="s">
        <v>34</v>
      </c>
      <c r="J346" s="1" t="s">
        <v>22</v>
      </c>
      <c r="K346" s="1" t="s">
        <v>30</v>
      </c>
      <c r="L346" s="1">
        <v>0.0</v>
      </c>
    </row>
    <row r="347">
      <c r="A347" s="1" t="s">
        <v>722</v>
      </c>
      <c r="B347" s="1" t="s">
        <v>723</v>
      </c>
      <c r="C347" s="2">
        <v>45080.0</v>
      </c>
      <c r="D347" s="1">
        <v>7.8584457E7</v>
      </c>
      <c r="E347" s="1" t="s">
        <v>47</v>
      </c>
      <c r="F347" s="1" t="s">
        <v>42</v>
      </c>
      <c r="G347" s="1">
        <v>87.0</v>
      </c>
      <c r="H347" s="1">
        <v>1.0</v>
      </c>
      <c r="I347" s="1" t="s">
        <v>16</v>
      </c>
      <c r="J347" s="1" t="s">
        <v>22</v>
      </c>
      <c r="K347" s="1" t="s">
        <v>44</v>
      </c>
      <c r="L347" s="1">
        <v>0.0</v>
      </c>
    </row>
    <row r="348">
      <c r="A348" s="1" t="s">
        <v>724</v>
      </c>
      <c r="B348" s="1" t="s">
        <v>725</v>
      </c>
      <c r="C348" s="2">
        <v>45237.0</v>
      </c>
      <c r="D348" s="1">
        <v>3.5077589E7</v>
      </c>
      <c r="E348" s="1" t="s">
        <v>25</v>
      </c>
      <c r="F348" s="1" t="s">
        <v>38</v>
      </c>
      <c r="G348" s="1">
        <v>80.0</v>
      </c>
      <c r="H348" s="1">
        <v>1.0</v>
      </c>
      <c r="I348" s="1" t="s">
        <v>34</v>
      </c>
      <c r="J348" s="1" t="s">
        <v>17</v>
      </c>
      <c r="K348" s="1" t="s">
        <v>30</v>
      </c>
      <c r="L348" s="1">
        <v>0.0</v>
      </c>
    </row>
    <row r="349">
      <c r="A349" s="1" t="s">
        <v>726</v>
      </c>
      <c r="B349" s="1" t="s">
        <v>727</v>
      </c>
      <c r="C349" s="2">
        <v>45045.0</v>
      </c>
      <c r="D349" s="1">
        <v>3.258789E7</v>
      </c>
      <c r="E349" s="1" t="s">
        <v>47</v>
      </c>
      <c r="F349" s="1" t="s">
        <v>42</v>
      </c>
      <c r="G349" s="1">
        <v>62.0</v>
      </c>
      <c r="H349" s="1">
        <v>1.0</v>
      </c>
      <c r="I349" s="1" t="s">
        <v>34</v>
      </c>
      <c r="J349" s="1" t="s">
        <v>35</v>
      </c>
      <c r="K349" s="1" t="s">
        <v>30</v>
      </c>
      <c r="L349" s="1">
        <v>0.0</v>
      </c>
    </row>
    <row r="350">
      <c r="A350" s="1" t="s">
        <v>728</v>
      </c>
      <c r="B350" s="1" t="s">
        <v>729</v>
      </c>
      <c r="C350" s="2">
        <v>45266.0</v>
      </c>
      <c r="D350" s="1">
        <v>7.5300371E7</v>
      </c>
      <c r="E350" s="1" t="s">
        <v>47</v>
      </c>
      <c r="F350" s="1" t="s">
        <v>26</v>
      </c>
      <c r="G350" s="1">
        <v>18.0</v>
      </c>
      <c r="H350" s="1">
        <v>1.0</v>
      </c>
      <c r="I350" s="1" t="s">
        <v>27</v>
      </c>
      <c r="J350" s="1" t="s">
        <v>17</v>
      </c>
      <c r="K350" s="1" t="s">
        <v>18</v>
      </c>
      <c r="L350" s="1">
        <v>0.0</v>
      </c>
    </row>
    <row r="351">
      <c r="A351" s="1" t="s">
        <v>730</v>
      </c>
      <c r="B351" s="1" t="s">
        <v>731</v>
      </c>
      <c r="C351" s="2">
        <v>44952.0</v>
      </c>
      <c r="D351" s="1">
        <v>6.6112549E7</v>
      </c>
      <c r="E351" s="1" t="s">
        <v>14</v>
      </c>
      <c r="F351" s="1" t="s">
        <v>38</v>
      </c>
      <c r="G351" s="1">
        <v>23.0</v>
      </c>
      <c r="H351" s="1">
        <v>1.0</v>
      </c>
      <c r="I351" s="1" t="s">
        <v>27</v>
      </c>
      <c r="J351" s="1" t="s">
        <v>39</v>
      </c>
      <c r="K351" s="1" t="s">
        <v>30</v>
      </c>
      <c r="L351" s="1">
        <v>0.0</v>
      </c>
    </row>
    <row r="352">
      <c r="A352" s="1" t="s">
        <v>732</v>
      </c>
      <c r="B352" s="1" t="s">
        <v>733</v>
      </c>
      <c r="C352" s="2">
        <v>45100.0</v>
      </c>
      <c r="D352" s="1">
        <v>1.2190669E7</v>
      </c>
      <c r="E352" s="1" t="s">
        <v>14</v>
      </c>
      <c r="F352" s="1" t="s">
        <v>15</v>
      </c>
      <c r="G352" s="1">
        <v>150.0</v>
      </c>
      <c r="H352" s="1">
        <v>0.0</v>
      </c>
      <c r="I352" s="1" t="s">
        <v>21</v>
      </c>
      <c r="J352" s="1" t="s">
        <v>22</v>
      </c>
      <c r="K352" s="1" t="s">
        <v>18</v>
      </c>
      <c r="L352" s="1">
        <v>0.0</v>
      </c>
    </row>
    <row r="353">
      <c r="A353" s="1" t="s">
        <v>734</v>
      </c>
      <c r="B353" s="1" t="s">
        <v>735</v>
      </c>
      <c r="C353" s="2">
        <v>45058.0</v>
      </c>
      <c r="D353" s="1">
        <v>8.3105807E7</v>
      </c>
      <c r="E353" s="1" t="s">
        <v>14</v>
      </c>
      <c r="F353" s="1" t="s">
        <v>26</v>
      </c>
      <c r="G353" s="1">
        <v>175.0</v>
      </c>
      <c r="H353" s="1">
        <v>0.0</v>
      </c>
      <c r="I353" s="1" t="s">
        <v>34</v>
      </c>
      <c r="J353" s="1" t="s">
        <v>39</v>
      </c>
      <c r="K353" s="1" t="s">
        <v>30</v>
      </c>
      <c r="L353" s="1">
        <v>0.0</v>
      </c>
    </row>
    <row r="354">
      <c r="A354" s="1" t="s">
        <v>736</v>
      </c>
      <c r="B354" s="1" t="s">
        <v>737</v>
      </c>
      <c r="C354" s="2">
        <v>45266.0</v>
      </c>
      <c r="D354" s="1">
        <v>1.0319192E7</v>
      </c>
      <c r="E354" s="1" t="s">
        <v>14</v>
      </c>
      <c r="F354" s="1" t="s">
        <v>38</v>
      </c>
      <c r="G354" s="1">
        <v>49.0</v>
      </c>
      <c r="H354" s="1">
        <v>1.0</v>
      </c>
      <c r="I354" s="1" t="s">
        <v>34</v>
      </c>
      <c r="J354" s="1" t="s">
        <v>39</v>
      </c>
      <c r="K354" s="1" t="s">
        <v>18</v>
      </c>
      <c r="L354" s="1">
        <v>0.0</v>
      </c>
    </row>
    <row r="355">
      <c r="A355" s="1" t="s">
        <v>738</v>
      </c>
      <c r="B355" s="1" t="s">
        <v>739</v>
      </c>
      <c r="C355" s="2">
        <v>45176.0</v>
      </c>
      <c r="D355" s="1">
        <v>7.6337857E7</v>
      </c>
      <c r="E355" s="1" t="s">
        <v>14</v>
      </c>
      <c r="F355" s="1" t="s">
        <v>26</v>
      </c>
      <c r="G355" s="1">
        <v>92.0</v>
      </c>
      <c r="H355" s="1">
        <v>1.0</v>
      </c>
      <c r="I355" s="1" t="s">
        <v>16</v>
      </c>
      <c r="J355" s="1" t="s">
        <v>35</v>
      </c>
      <c r="K355" s="1" t="s">
        <v>18</v>
      </c>
      <c r="L355" s="1">
        <v>0.0</v>
      </c>
    </row>
    <row r="356">
      <c r="A356" s="1" t="s">
        <v>740</v>
      </c>
      <c r="B356" s="1" t="s">
        <v>741</v>
      </c>
      <c r="C356" s="2">
        <v>44964.0</v>
      </c>
      <c r="D356" s="1">
        <v>8240002.0</v>
      </c>
      <c r="E356" s="1" t="s">
        <v>47</v>
      </c>
      <c r="F356" s="1" t="s">
        <v>15</v>
      </c>
      <c r="G356" s="1">
        <v>75.0</v>
      </c>
      <c r="H356" s="1">
        <v>1.0</v>
      </c>
      <c r="I356" s="1" t="s">
        <v>16</v>
      </c>
      <c r="J356" s="1" t="s">
        <v>39</v>
      </c>
      <c r="K356" s="1" t="s">
        <v>18</v>
      </c>
      <c r="L356" s="1">
        <v>0.0</v>
      </c>
    </row>
    <row r="357">
      <c r="A357" s="1" t="s">
        <v>742</v>
      </c>
      <c r="B357" s="1" t="s">
        <v>743</v>
      </c>
      <c r="C357" s="2">
        <v>45088.0</v>
      </c>
      <c r="D357" s="1">
        <v>7.95784E7</v>
      </c>
      <c r="E357" s="1" t="s">
        <v>14</v>
      </c>
      <c r="F357" s="1" t="s">
        <v>38</v>
      </c>
      <c r="G357" s="1">
        <v>51.0</v>
      </c>
      <c r="H357" s="1">
        <v>0.0</v>
      </c>
      <c r="I357" s="1" t="s">
        <v>16</v>
      </c>
      <c r="J357" s="1" t="s">
        <v>35</v>
      </c>
      <c r="K357" s="1" t="s">
        <v>30</v>
      </c>
      <c r="L357" s="1">
        <v>0.0</v>
      </c>
    </row>
    <row r="358">
      <c r="A358" s="1" t="s">
        <v>744</v>
      </c>
      <c r="B358" s="1" t="s">
        <v>745</v>
      </c>
      <c r="C358" s="2">
        <v>45291.0</v>
      </c>
      <c r="D358" s="1">
        <v>9.9475376E7</v>
      </c>
      <c r="E358" s="1" t="s">
        <v>14</v>
      </c>
      <c r="F358" s="1" t="s">
        <v>38</v>
      </c>
      <c r="G358" s="1">
        <v>59.0</v>
      </c>
      <c r="H358" s="1">
        <v>0.0</v>
      </c>
      <c r="I358" s="1" t="s">
        <v>27</v>
      </c>
      <c r="J358" s="1" t="s">
        <v>35</v>
      </c>
      <c r="K358" s="1" t="s">
        <v>18</v>
      </c>
      <c r="L358" s="1">
        <v>0.0</v>
      </c>
    </row>
    <row r="359">
      <c r="A359" s="1" t="s">
        <v>746</v>
      </c>
      <c r="B359" s="1" t="s">
        <v>747</v>
      </c>
      <c r="C359" s="2">
        <v>45144.0</v>
      </c>
      <c r="D359" s="1">
        <v>7.0182019E7</v>
      </c>
      <c r="E359" s="1" t="s">
        <v>25</v>
      </c>
      <c r="F359" s="1" t="s">
        <v>38</v>
      </c>
      <c r="G359" s="1">
        <v>48.0</v>
      </c>
      <c r="H359" s="1">
        <v>1.0</v>
      </c>
      <c r="I359" s="1" t="s">
        <v>27</v>
      </c>
      <c r="J359" s="1" t="s">
        <v>22</v>
      </c>
      <c r="K359" s="1" t="s">
        <v>30</v>
      </c>
      <c r="L359" s="1">
        <v>0.0</v>
      </c>
    </row>
    <row r="360">
      <c r="A360" s="1" t="s">
        <v>748</v>
      </c>
      <c r="B360" s="1" t="s">
        <v>749</v>
      </c>
      <c r="C360" s="2">
        <v>44934.0</v>
      </c>
      <c r="D360" s="1">
        <v>1.998382E7</v>
      </c>
      <c r="E360" s="1" t="s">
        <v>14</v>
      </c>
      <c r="F360" s="1" t="s">
        <v>26</v>
      </c>
      <c r="G360" s="1">
        <v>70.0</v>
      </c>
      <c r="H360" s="1">
        <v>0.0</v>
      </c>
      <c r="I360" s="1" t="s">
        <v>27</v>
      </c>
      <c r="J360" s="1" t="s">
        <v>22</v>
      </c>
      <c r="K360" s="1" t="s">
        <v>44</v>
      </c>
      <c r="L360" s="1">
        <v>0.0</v>
      </c>
    </row>
    <row r="361">
      <c r="A361" s="1" t="s">
        <v>750</v>
      </c>
      <c r="B361" s="1" t="s">
        <v>751</v>
      </c>
      <c r="C361" s="2">
        <v>45092.0</v>
      </c>
      <c r="D361" s="1">
        <v>5.0913152E7</v>
      </c>
      <c r="E361" s="1" t="s">
        <v>14</v>
      </c>
      <c r="F361" s="1" t="s">
        <v>26</v>
      </c>
      <c r="G361" s="1">
        <v>106.0</v>
      </c>
      <c r="H361" s="1">
        <v>1.0</v>
      </c>
      <c r="I361" s="1" t="s">
        <v>27</v>
      </c>
      <c r="J361" s="1" t="s">
        <v>22</v>
      </c>
      <c r="K361" s="1" t="s">
        <v>30</v>
      </c>
      <c r="L361" s="1">
        <v>0.0</v>
      </c>
    </row>
    <row r="362">
      <c r="A362" s="1" t="s">
        <v>752</v>
      </c>
      <c r="B362" s="1" t="s">
        <v>753</v>
      </c>
      <c r="C362" s="2">
        <v>45011.0</v>
      </c>
      <c r="D362" s="1">
        <v>6.2856744E7</v>
      </c>
      <c r="E362" s="1" t="s">
        <v>47</v>
      </c>
      <c r="F362" s="1" t="s">
        <v>42</v>
      </c>
      <c r="G362" s="1">
        <v>11.0</v>
      </c>
      <c r="H362" s="1">
        <v>0.0</v>
      </c>
      <c r="I362" s="1" t="s">
        <v>27</v>
      </c>
      <c r="J362" s="1" t="s">
        <v>17</v>
      </c>
      <c r="K362" s="1" t="s">
        <v>44</v>
      </c>
      <c r="L362" s="1">
        <v>0.0</v>
      </c>
    </row>
    <row r="363">
      <c r="A363" s="1" t="s">
        <v>754</v>
      </c>
      <c r="B363" s="1" t="s">
        <v>755</v>
      </c>
      <c r="C363" s="2">
        <v>45281.0</v>
      </c>
      <c r="D363" s="1">
        <v>5.000018E7</v>
      </c>
      <c r="E363" s="1" t="s">
        <v>14</v>
      </c>
      <c r="F363" s="1" t="s">
        <v>33</v>
      </c>
      <c r="G363" s="1">
        <v>126.0</v>
      </c>
      <c r="H363" s="1">
        <v>1.0</v>
      </c>
      <c r="I363" s="1" t="s">
        <v>27</v>
      </c>
      <c r="J363" s="1" t="s">
        <v>43</v>
      </c>
      <c r="K363" s="1" t="s">
        <v>18</v>
      </c>
      <c r="L363" s="1">
        <v>0.0</v>
      </c>
    </row>
    <row r="364">
      <c r="A364" s="1" t="s">
        <v>756</v>
      </c>
      <c r="B364" s="1" t="s">
        <v>757</v>
      </c>
      <c r="C364" s="2">
        <v>45199.0</v>
      </c>
      <c r="D364" s="1">
        <v>3.1222877E7</v>
      </c>
      <c r="E364" s="1" t="s">
        <v>14</v>
      </c>
      <c r="F364" s="1" t="s">
        <v>38</v>
      </c>
      <c r="G364" s="1">
        <v>177.0</v>
      </c>
      <c r="H364" s="1">
        <v>1.0</v>
      </c>
      <c r="I364" s="1" t="s">
        <v>16</v>
      </c>
      <c r="J364" s="1" t="s">
        <v>39</v>
      </c>
      <c r="K364" s="1" t="s">
        <v>18</v>
      </c>
      <c r="L364" s="1">
        <v>0.0</v>
      </c>
    </row>
    <row r="365">
      <c r="A365" s="1" t="s">
        <v>758</v>
      </c>
      <c r="B365" s="1" t="s">
        <v>759</v>
      </c>
      <c r="C365" s="2">
        <v>45100.0</v>
      </c>
      <c r="D365" s="1">
        <v>6.6234111E7</v>
      </c>
      <c r="E365" s="1" t="s">
        <v>47</v>
      </c>
      <c r="F365" s="1" t="s">
        <v>26</v>
      </c>
      <c r="G365" s="1">
        <v>14.0</v>
      </c>
      <c r="H365" s="1">
        <v>1.0</v>
      </c>
      <c r="I365" s="1" t="s">
        <v>27</v>
      </c>
      <c r="J365" s="1" t="s">
        <v>22</v>
      </c>
      <c r="K365" s="1" t="s">
        <v>18</v>
      </c>
      <c r="L365" s="1">
        <v>0.0</v>
      </c>
    </row>
    <row r="366">
      <c r="A366" s="1" t="s">
        <v>760</v>
      </c>
      <c r="B366" s="1" t="s">
        <v>761</v>
      </c>
      <c r="C366" s="2">
        <v>45094.0</v>
      </c>
      <c r="D366" s="1">
        <v>8.1218684E7</v>
      </c>
      <c r="E366" s="1" t="s">
        <v>25</v>
      </c>
      <c r="F366" s="1" t="s">
        <v>38</v>
      </c>
      <c r="G366" s="1">
        <v>8.0</v>
      </c>
      <c r="H366" s="1">
        <v>1.0</v>
      </c>
      <c r="I366" s="1" t="s">
        <v>34</v>
      </c>
      <c r="J366" s="1" t="s">
        <v>17</v>
      </c>
      <c r="K366" s="1" t="s">
        <v>18</v>
      </c>
      <c r="L366" s="1">
        <v>0.0</v>
      </c>
    </row>
    <row r="367">
      <c r="A367" s="1" t="s">
        <v>762</v>
      </c>
      <c r="B367" s="1" t="s">
        <v>763</v>
      </c>
      <c r="C367" s="2">
        <v>44960.0</v>
      </c>
      <c r="D367" s="1">
        <v>4.5088735E7</v>
      </c>
      <c r="E367" s="1" t="s">
        <v>14</v>
      </c>
      <c r="F367" s="1" t="s">
        <v>38</v>
      </c>
      <c r="G367" s="1">
        <v>142.0</v>
      </c>
      <c r="H367" s="1">
        <v>1.0</v>
      </c>
      <c r="I367" s="1" t="s">
        <v>16</v>
      </c>
      <c r="J367" s="1" t="s">
        <v>39</v>
      </c>
      <c r="K367" s="1" t="s">
        <v>18</v>
      </c>
      <c r="L367" s="1">
        <v>0.0</v>
      </c>
    </row>
    <row r="368">
      <c r="A368" s="1" t="s">
        <v>764</v>
      </c>
      <c r="B368" s="1" t="s">
        <v>765</v>
      </c>
      <c r="C368" s="2">
        <v>45280.0</v>
      </c>
      <c r="D368" s="1">
        <v>8.8875231E7</v>
      </c>
      <c r="E368" s="1" t="s">
        <v>47</v>
      </c>
      <c r="F368" s="1" t="s">
        <v>38</v>
      </c>
      <c r="G368" s="1">
        <v>128.0</v>
      </c>
      <c r="H368" s="1">
        <v>0.0</v>
      </c>
      <c r="I368" s="1" t="s">
        <v>34</v>
      </c>
      <c r="J368" s="1" t="s">
        <v>22</v>
      </c>
      <c r="K368" s="1" t="s">
        <v>44</v>
      </c>
      <c r="L368" s="1">
        <v>1.0</v>
      </c>
    </row>
    <row r="369">
      <c r="A369" s="1" t="s">
        <v>766</v>
      </c>
      <c r="B369" s="1" t="s">
        <v>767</v>
      </c>
      <c r="C369" s="2">
        <v>45248.0</v>
      </c>
      <c r="D369" s="1">
        <v>9067271.0</v>
      </c>
      <c r="E369" s="1" t="s">
        <v>25</v>
      </c>
      <c r="F369" s="1" t="s">
        <v>26</v>
      </c>
      <c r="G369" s="1">
        <v>39.0</v>
      </c>
      <c r="H369" s="1">
        <v>0.0</v>
      </c>
      <c r="I369" s="1" t="s">
        <v>34</v>
      </c>
      <c r="J369" s="1" t="s">
        <v>39</v>
      </c>
      <c r="K369" s="1" t="s">
        <v>18</v>
      </c>
      <c r="L369" s="1">
        <v>0.0</v>
      </c>
    </row>
    <row r="370">
      <c r="A370" s="1" t="s">
        <v>768</v>
      </c>
      <c r="B370" s="1" t="s">
        <v>769</v>
      </c>
      <c r="C370" s="2">
        <v>45128.0</v>
      </c>
      <c r="D370" s="1">
        <v>5.3921178E7</v>
      </c>
      <c r="E370" s="1" t="s">
        <v>14</v>
      </c>
      <c r="F370" s="1" t="s">
        <v>26</v>
      </c>
      <c r="G370" s="1">
        <v>6.0</v>
      </c>
      <c r="H370" s="1">
        <v>1.0</v>
      </c>
      <c r="I370" s="1" t="s">
        <v>21</v>
      </c>
      <c r="J370" s="1" t="s">
        <v>17</v>
      </c>
      <c r="K370" s="1" t="s">
        <v>30</v>
      </c>
      <c r="L370" s="1">
        <v>0.0</v>
      </c>
    </row>
    <row r="371">
      <c r="A371" s="1" t="s">
        <v>770</v>
      </c>
      <c r="B371" s="1" t="s">
        <v>771</v>
      </c>
      <c r="C371" s="2">
        <v>45014.0</v>
      </c>
      <c r="D371" s="1">
        <v>5.5633567E7</v>
      </c>
      <c r="E371" s="1" t="s">
        <v>47</v>
      </c>
      <c r="F371" s="1" t="s">
        <v>42</v>
      </c>
      <c r="G371" s="1">
        <v>43.0</v>
      </c>
      <c r="H371" s="1">
        <v>1.0</v>
      </c>
      <c r="I371" s="1" t="s">
        <v>34</v>
      </c>
      <c r="J371" s="1" t="s">
        <v>39</v>
      </c>
      <c r="K371" s="1" t="s">
        <v>44</v>
      </c>
      <c r="L371" s="1">
        <v>0.0</v>
      </c>
    </row>
    <row r="372">
      <c r="A372" s="1" t="s">
        <v>772</v>
      </c>
      <c r="B372" s="1" t="s">
        <v>773</v>
      </c>
      <c r="C372" s="2">
        <v>45251.0</v>
      </c>
      <c r="D372" s="1">
        <v>9609198.0</v>
      </c>
      <c r="E372" s="1" t="s">
        <v>14</v>
      </c>
      <c r="F372" s="1" t="s">
        <v>33</v>
      </c>
      <c r="G372" s="1">
        <v>99.0</v>
      </c>
      <c r="H372" s="1">
        <v>1.0</v>
      </c>
      <c r="I372" s="1" t="s">
        <v>16</v>
      </c>
      <c r="J372" s="1" t="s">
        <v>35</v>
      </c>
      <c r="K372" s="1" t="s">
        <v>30</v>
      </c>
      <c r="L372" s="1">
        <v>0.0</v>
      </c>
    </row>
    <row r="373">
      <c r="A373" s="1" t="s">
        <v>774</v>
      </c>
      <c r="B373" s="1" t="s">
        <v>775</v>
      </c>
      <c r="C373" s="2">
        <v>45207.0</v>
      </c>
      <c r="D373" s="1">
        <v>2.6627328E7</v>
      </c>
      <c r="E373" s="1" t="s">
        <v>25</v>
      </c>
      <c r="F373" s="1" t="s">
        <v>38</v>
      </c>
      <c r="G373" s="1">
        <v>146.0</v>
      </c>
      <c r="H373" s="1">
        <v>1.0</v>
      </c>
      <c r="I373" s="1" t="s">
        <v>34</v>
      </c>
      <c r="J373" s="1" t="s">
        <v>17</v>
      </c>
      <c r="K373" s="1" t="s">
        <v>44</v>
      </c>
      <c r="L373" s="1">
        <v>0.0</v>
      </c>
    </row>
    <row r="374">
      <c r="A374" s="1" t="s">
        <v>776</v>
      </c>
      <c r="B374" s="1" t="s">
        <v>777</v>
      </c>
      <c r="C374" s="2">
        <v>44933.0</v>
      </c>
      <c r="D374" s="1">
        <v>9.1269416E7</v>
      </c>
      <c r="E374" s="1" t="s">
        <v>47</v>
      </c>
      <c r="F374" s="1" t="s">
        <v>26</v>
      </c>
      <c r="G374" s="1">
        <v>91.0</v>
      </c>
      <c r="H374" s="1">
        <v>1.0</v>
      </c>
      <c r="I374" s="1" t="s">
        <v>21</v>
      </c>
      <c r="J374" s="1" t="s">
        <v>17</v>
      </c>
      <c r="K374" s="1" t="s">
        <v>18</v>
      </c>
      <c r="L374" s="1">
        <v>0.0</v>
      </c>
    </row>
    <row r="375">
      <c r="A375" s="1" t="s">
        <v>778</v>
      </c>
      <c r="B375" s="1" t="s">
        <v>779</v>
      </c>
      <c r="C375" s="2">
        <v>45280.0</v>
      </c>
      <c r="D375" s="1">
        <v>1.778106E7</v>
      </c>
      <c r="E375" s="1" t="s">
        <v>14</v>
      </c>
      <c r="F375" s="1" t="s">
        <v>15</v>
      </c>
      <c r="G375" s="1">
        <v>51.0</v>
      </c>
      <c r="H375" s="1">
        <v>0.0</v>
      </c>
      <c r="I375" s="1" t="s">
        <v>21</v>
      </c>
      <c r="J375" s="1" t="s">
        <v>35</v>
      </c>
      <c r="K375" s="1" t="s">
        <v>30</v>
      </c>
      <c r="L375" s="1">
        <v>0.0</v>
      </c>
    </row>
    <row r="376">
      <c r="A376" s="1" t="s">
        <v>780</v>
      </c>
      <c r="B376" s="1" t="s">
        <v>781</v>
      </c>
      <c r="C376" s="2">
        <v>45182.0</v>
      </c>
      <c r="D376" s="1">
        <v>2.2367938E7</v>
      </c>
      <c r="E376" s="1" t="s">
        <v>14</v>
      </c>
      <c r="F376" s="1" t="s">
        <v>26</v>
      </c>
      <c r="G376" s="1">
        <v>92.0</v>
      </c>
      <c r="H376" s="1">
        <v>1.0</v>
      </c>
      <c r="I376" s="1" t="s">
        <v>34</v>
      </c>
      <c r="J376" s="1" t="s">
        <v>17</v>
      </c>
      <c r="K376" s="1" t="s">
        <v>30</v>
      </c>
      <c r="L376" s="1">
        <v>0.0</v>
      </c>
    </row>
    <row r="377">
      <c r="A377" s="1" t="s">
        <v>782</v>
      </c>
      <c r="B377" s="1" t="s">
        <v>783</v>
      </c>
      <c r="C377" s="2">
        <v>44987.0</v>
      </c>
      <c r="D377" s="1">
        <v>2.9964529E7</v>
      </c>
      <c r="E377" s="1" t="s">
        <v>14</v>
      </c>
      <c r="F377" s="1" t="s">
        <v>38</v>
      </c>
      <c r="G377" s="1">
        <v>42.0</v>
      </c>
      <c r="H377" s="1">
        <v>1.0</v>
      </c>
      <c r="I377" s="1" t="s">
        <v>27</v>
      </c>
      <c r="J377" s="1" t="s">
        <v>17</v>
      </c>
      <c r="K377" s="1" t="s">
        <v>44</v>
      </c>
      <c r="L377" s="1">
        <v>0.0</v>
      </c>
    </row>
    <row r="378">
      <c r="A378" s="1" t="s">
        <v>784</v>
      </c>
      <c r="B378" s="1" t="s">
        <v>785</v>
      </c>
      <c r="C378" s="2">
        <v>45143.0</v>
      </c>
      <c r="D378" s="1">
        <v>7.938283E7</v>
      </c>
      <c r="E378" s="1" t="s">
        <v>47</v>
      </c>
      <c r="F378" s="1" t="s">
        <v>38</v>
      </c>
      <c r="G378" s="1">
        <v>98.0</v>
      </c>
      <c r="H378" s="1">
        <v>1.0</v>
      </c>
      <c r="I378" s="1" t="s">
        <v>34</v>
      </c>
      <c r="J378" s="1" t="s">
        <v>35</v>
      </c>
      <c r="K378" s="1" t="s">
        <v>44</v>
      </c>
      <c r="L378" s="1">
        <v>0.0</v>
      </c>
    </row>
    <row r="379">
      <c r="A379" s="1" t="s">
        <v>786</v>
      </c>
      <c r="B379" s="1" t="s">
        <v>787</v>
      </c>
      <c r="C379" s="2">
        <v>44988.0</v>
      </c>
      <c r="D379" s="1">
        <v>1.8206746E7</v>
      </c>
      <c r="E379" s="1" t="s">
        <v>47</v>
      </c>
      <c r="F379" s="1" t="s">
        <v>15</v>
      </c>
      <c r="G379" s="1">
        <v>95.0</v>
      </c>
      <c r="H379" s="1">
        <v>1.0</v>
      </c>
      <c r="I379" s="1" t="s">
        <v>34</v>
      </c>
      <c r="J379" s="1" t="s">
        <v>17</v>
      </c>
      <c r="K379" s="1" t="s">
        <v>18</v>
      </c>
      <c r="L379" s="1">
        <v>0.0</v>
      </c>
    </row>
    <row r="380">
      <c r="A380" s="1" t="s">
        <v>788</v>
      </c>
      <c r="B380" s="1" t="s">
        <v>789</v>
      </c>
      <c r="C380" s="2">
        <v>45114.0</v>
      </c>
      <c r="D380" s="1">
        <v>3.2461848E7</v>
      </c>
      <c r="E380" s="1" t="s">
        <v>47</v>
      </c>
      <c r="F380" s="1" t="s">
        <v>15</v>
      </c>
      <c r="G380" s="1">
        <v>87.0</v>
      </c>
      <c r="H380" s="1">
        <v>0.0</v>
      </c>
      <c r="I380" s="1" t="s">
        <v>21</v>
      </c>
      <c r="J380" s="1" t="s">
        <v>35</v>
      </c>
      <c r="K380" s="1" t="s">
        <v>44</v>
      </c>
      <c r="L380" s="1">
        <v>0.0</v>
      </c>
    </row>
    <row r="381">
      <c r="A381" s="1" t="s">
        <v>790</v>
      </c>
      <c r="B381" s="1" t="s">
        <v>791</v>
      </c>
      <c r="C381" s="2">
        <v>45048.0</v>
      </c>
      <c r="D381" s="1">
        <v>6.7110193E7</v>
      </c>
      <c r="E381" s="1" t="s">
        <v>47</v>
      </c>
      <c r="F381" s="1" t="s">
        <v>38</v>
      </c>
      <c r="G381" s="1">
        <v>11.0</v>
      </c>
      <c r="H381" s="1">
        <v>1.0</v>
      </c>
      <c r="I381" s="1" t="s">
        <v>34</v>
      </c>
      <c r="J381" s="1" t="s">
        <v>39</v>
      </c>
      <c r="K381" s="1" t="s">
        <v>30</v>
      </c>
      <c r="L381" s="1">
        <v>0.0</v>
      </c>
    </row>
    <row r="382">
      <c r="A382" s="1" t="s">
        <v>792</v>
      </c>
      <c r="B382" s="1" t="s">
        <v>793</v>
      </c>
      <c r="C382" s="2">
        <v>45212.0</v>
      </c>
      <c r="D382" s="1">
        <v>5.8506981E7</v>
      </c>
      <c r="E382" s="1" t="s">
        <v>25</v>
      </c>
      <c r="F382" s="1" t="s">
        <v>33</v>
      </c>
      <c r="G382" s="1">
        <v>79.0</v>
      </c>
      <c r="H382" s="1">
        <v>0.0</v>
      </c>
      <c r="I382" s="1" t="s">
        <v>27</v>
      </c>
      <c r="J382" s="1" t="s">
        <v>17</v>
      </c>
      <c r="K382" s="1" t="s">
        <v>18</v>
      </c>
      <c r="L382" s="1">
        <v>0.0</v>
      </c>
    </row>
    <row r="383">
      <c r="A383" s="1" t="s">
        <v>794</v>
      </c>
      <c r="B383" s="1" t="s">
        <v>795</v>
      </c>
      <c r="C383" s="2">
        <v>45166.0</v>
      </c>
      <c r="D383" s="1">
        <v>3.8300936E7</v>
      </c>
      <c r="E383" s="1" t="s">
        <v>14</v>
      </c>
      <c r="F383" s="1" t="s">
        <v>33</v>
      </c>
      <c r="G383" s="1">
        <v>176.0</v>
      </c>
      <c r="H383" s="1">
        <v>0.0</v>
      </c>
      <c r="I383" s="1" t="s">
        <v>21</v>
      </c>
      <c r="J383" s="1" t="s">
        <v>39</v>
      </c>
      <c r="K383" s="1" t="s">
        <v>30</v>
      </c>
      <c r="L383" s="1">
        <v>0.0</v>
      </c>
    </row>
    <row r="384">
      <c r="A384" s="1" t="s">
        <v>796</v>
      </c>
      <c r="B384" s="1" t="s">
        <v>797</v>
      </c>
      <c r="C384" s="2">
        <v>44955.0</v>
      </c>
      <c r="D384" s="1">
        <v>6969332.0</v>
      </c>
      <c r="E384" s="1" t="s">
        <v>14</v>
      </c>
      <c r="F384" s="1" t="s">
        <v>26</v>
      </c>
      <c r="G384" s="1">
        <v>6.0</v>
      </c>
      <c r="H384" s="1">
        <v>0.0</v>
      </c>
      <c r="I384" s="1" t="s">
        <v>16</v>
      </c>
      <c r="J384" s="1" t="s">
        <v>35</v>
      </c>
      <c r="K384" s="1" t="s">
        <v>44</v>
      </c>
      <c r="L384" s="1">
        <v>0.0</v>
      </c>
    </row>
    <row r="385">
      <c r="A385" s="1" t="s">
        <v>798</v>
      </c>
      <c r="B385" s="1" t="s">
        <v>799</v>
      </c>
      <c r="C385" s="2">
        <v>45079.0</v>
      </c>
      <c r="D385" s="1">
        <v>2153643.0</v>
      </c>
      <c r="E385" s="1" t="s">
        <v>25</v>
      </c>
      <c r="F385" s="1" t="s">
        <v>33</v>
      </c>
      <c r="G385" s="1">
        <v>84.0</v>
      </c>
      <c r="H385" s="1">
        <v>1.0</v>
      </c>
      <c r="I385" s="1" t="s">
        <v>34</v>
      </c>
      <c r="J385" s="1" t="s">
        <v>22</v>
      </c>
      <c r="K385" s="1" t="s">
        <v>44</v>
      </c>
      <c r="L385" s="1">
        <v>0.0</v>
      </c>
    </row>
    <row r="386">
      <c r="A386" s="1" t="s">
        <v>800</v>
      </c>
      <c r="B386" s="1" t="s">
        <v>801</v>
      </c>
      <c r="C386" s="2">
        <v>45076.0</v>
      </c>
      <c r="D386" s="1">
        <v>8.1001064E7</v>
      </c>
      <c r="E386" s="1" t="s">
        <v>25</v>
      </c>
      <c r="F386" s="1" t="s">
        <v>15</v>
      </c>
      <c r="G386" s="1">
        <v>150.0</v>
      </c>
      <c r="H386" s="1">
        <v>1.0</v>
      </c>
      <c r="I386" s="1" t="s">
        <v>16</v>
      </c>
      <c r="J386" s="1" t="s">
        <v>43</v>
      </c>
      <c r="K386" s="1" t="s">
        <v>30</v>
      </c>
      <c r="L386" s="1">
        <v>0.0</v>
      </c>
    </row>
    <row r="387">
      <c r="A387" s="1" t="s">
        <v>802</v>
      </c>
      <c r="B387" s="1" t="s">
        <v>803</v>
      </c>
      <c r="C387" s="2">
        <v>45189.0</v>
      </c>
      <c r="D387" s="1">
        <v>8.8809496E7</v>
      </c>
      <c r="E387" s="1" t="s">
        <v>14</v>
      </c>
      <c r="F387" s="1" t="s">
        <v>26</v>
      </c>
      <c r="G387" s="1">
        <v>24.0</v>
      </c>
      <c r="H387" s="1">
        <v>1.0</v>
      </c>
      <c r="I387" s="1" t="s">
        <v>16</v>
      </c>
      <c r="J387" s="1" t="s">
        <v>43</v>
      </c>
      <c r="K387" s="1" t="s">
        <v>44</v>
      </c>
      <c r="L387" s="1">
        <v>0.0</v>
      </c>
    </row>
    <row r="388">
      <c r="A388" s="1" t="s">
        <v>804</v>
      </c>
      <c r="B388" s="1" t="s">
        <v>805</v>
      </c>
      <c r="C388" s="2">
        <v>45011.0</v>
      </c>
      <c r="D388" s="1">
        <v>4.932853E7</v>
      </c>
      <c r="E388" s="1" t="s">
        <v>25</v>
      </c>
      <c r="F388" s="1" t="s">
        <v>38</v>
      </c>
      <c r="G388" s="1">
        <v>152.0</v>
      </c>
      <c r="H388" s="1">
        <v>1.0</v>
      </c>
      <c r="I388" s="1" t="s">
        <v>27</v>
      </c>
      <c r="J388" s="1" t="s">
        <v>22</v>
      </c>
      <c r="K388" s="1" t="s">
        <v>30</v>
      </c>
      <c r="L388" s="1">
        <v>0.0</v>
      </c>
    </row>
    <row r="389">
      <c r="A389" s="1" t="s">
        <v>806</v>
      </c>
      <c r="B389" s="1" t="s">
        <v>807</v>
      </c>
      <c r="C389" s="2">
        <v>45204.0</v>
      </c>
      <c r="D389" s="1">
        <v>2335445.0</v>
      </c>
      <c r="E389" s="1" t="s">
        <v>47</v>
      </c>
      <c r="F389" s="1" t="s">
        <v>33</v>
      </c>
      <c r="G389" s="1">
        <v>70.0</v>
      </c>
      <c r="H389" s="1">
        <v>1.0</v>
      </c>
      <c r="I389" s="1" t="s">
        <v>34</v>
      </c>
      <c r="J389" s="1" t="s">
        <v>17</v>
      </c>
      <c r="K389" s="1" t="s">
        <v>30</v>
      </c>
      <c r="L389" s="1">
        <v>0.0</v>
      </c>
    </row>
    <row r="390">
      <c r="A390" s="1" t="s">
        <v>808</v>
      </c>
      <c r="B390" s="1" t="s">
        <v>809</v>
      </c>
      <c r="C390" s="2">
        <v>45046.0</v>
      </c>
      <c r="D390" s="1">
        <v>9.9186012E7</v>
      </c>
      <c r="E390" s="1" t="s">
        <v>25</v>
      </c>
      <c r="F390" s="1" t="s">
        <v>33</v>
      </c>
      <c r="G390" s="1">
        <v>160.0</v>
      </c>
      <c r="H390" s="1">
        <v>1.0</v>
      </c>
      <c r="I390" s="1" t="s">
        <v>34</v>
      </c>
      <c r="J390" s="1" t="s">
        <v>43</v>
      </c>
      <c r="K390" s="1" t="s">
        <v>44</v>
      </c>
      <c r="L390" s="1">
        <v>0.0</v>
      </c>
    </row>
    <row r="391">
      <c r="A391" s="1" t="s">
        <v>810</v>
      </c>
      <c r="B391" s="1" t="s">
        <v>811</v>
      </c>
      <c r="C391" s="2">
        <v>45210.0</v>
      </c>
      <c r="D391" s="1">
        <v>5.9369233E7</v>
      </c>
      <c r="E391" s="1" t="s">
        <v>14</v>
      </c>
      <c r="F391" s="1" t="s">
        <v>15</v>
      </c>
      <c r="G391" s="1">
        <v>168.0</v>
      </c>
      <c r="H391" s="1">
        <v>1.0</v>
      </c>
      <c r="I391" s="1" t="s">
        <v>21</v>
      </c>
      <c r="J391" s="1" t="s">
        <v>35</v>
      </c>
      <c r="K391" s="1" t="s">
        <v>30</v>
      </c>
      <c r="L391" s="1">
        <v>1.0</v>
      </c>
    </row>
    <row r="392">
      <c r="A392" s="1" t="s">
        <v>812</v>
      </c>
      <c r="B392" s="1" t="s">
        <v>813</v>
      </c>
      <c r="C392" s="2">
        <v>45236.0</v>
      </c>
      <c r="D392" s="1">
        <v>4.4244354E7</v>
      </c>
      <c r="E392" s="1" t="s">
        <v>47</v>
      </c>
      <c r="F392" s="1" t="s">
        <v>33</v>
      </c>
      <c r="G392" s="1">
        <v>14.0</v>
      </c>
      <c r="H392" s="1">
        <v>1.0</v>
      </c>
      <c r="I392" s="1" t="s">
        <v>16</v>
      </c>
      <c r="J392" s="1" t="s">
        <v>35</v>
      </c>
      <c r="K392" s="1" t="s">
        <v>30</v>
      </c>
      <c r="L392" s="1">
        <v>0.0</v>
      </c>
    </row>
    <row r="393">
      <c r="A393" s="1" t="s">
        <v>814</v>
      </c>
      <c r="B393" s="1" t="s">
        <v>815</v>
      </c>
      <c r="C393" s="2">
        <v>45220.0</v>
      </c>
      <c r="D393" s="1">
        <v>9.8491704E7</v>
      </c>
      <c r="E393" s="1" t="s">
        <v>14</v>
      </c>
      <c r="F393" s="1" t="s">
        <v>42</v>
      </c>
      <c r="G393" s="1">
        <v>18.0</v>
      </c>
      <c r="H393" s="1">
        <v>1.0</v>
      </c>
      <c r="I393" s="1" t="s">
        <v>27</v>
      </c>
      <c r="J393" s="1" t="s">
        <v>17</v>
      </c>
      <c r="K393" s="1" t="s">
        <v>44</v>
      </c>
      <c r="L393" s="1">
        <v>0.0</v>
      </c>
    </row>
    <row r="394">
      <c r="A394" s="1" t="s">
        <v>816</v>
      </c>
      <c r="B394" s="1" t="s">
        <v>817</v>
      </c>
      <c r="C394" s="2">
        <v>44934.0</v>
      </c>
      <c r="D394" s="1">
        <v>3.7225872E7</v>
      </c>
      <c r="E394" s="1" t="s">
        <v>25</v>
      </c>
      <c r="F394" s="1" t="s">
        <v>33</v>
      </c>
      <c r="G394" s="1">
        <v>75.0</v>
      </c>
      <c r="H394" s="1">
        <v>1.0</v>
      </c>
      <c r="I394" s="1" t="s">
        <v>21</v>
      </c>
      <c r="J394" s="1" t="s">
        <v>22</v>
      </c>
      <c r="K394" s="1" t="s">
        <v>30</v>
      </c>
      <c r="L394" s="1">
        <v>0.0</v>
      </c>
    </row>
    <row r="395">
      <c r="A395" s="1" t="s">
        <v>818</v>
      </c>
      <c r="B395" s="1" t="s">
        <v>819</v>
      </c>
      <c r="C395" s="2">
        <v>45263.0</v>
      </c>
      <c r="D395" s="1">
        <v>2.0679941E7</v>
      </c>
      <c r="E395" s="1" t="s">
        <v>14</v>
      </c>
      <c r="F395" s="1" t="s">
        <v>15</v>
      </c>
      <c r="G395" s="1">
        <v>15.0</v>
      </c>
      <c r="H395" s="1">
        <v>0.0</v>
      </c>
      <c r="I395" s="1" t="s">
        <v>21</v>
      </c>
      <c r="J395" s="1" t="s">
        <v>17</v>
      </c>
      <c r="K395" s="1" t="s">
        <v>30</v>
      </c>
      <c r="L395" s="1">
        <v>0.0</v>
      </c>
    </row>
    <row r="396">
      <c r="A396" s="1" t="s">
        <v>820</v>
      </c>
      <c r="B396" s="1" t="s">
        <v>821</v>
      </c>
      <c r="C396" s="2">
        <v>45066.0</v>
      </c>
      <c r="D396" s="1">
        <v>8.2425852E7</v>
      </c>
      <c r="E396" s="1" t="s">
        <v>47</v>
      </c>
      <c r="F396" s="1" t="s">
        <v>42</v>
      </c>
      <c r="G396" s="1">
        <v>126.0</v>
      </c>
      <c r="H396" s="1">
        <v>1.0</v>
      </c>
      <c r="I396" s="1" t="s">
        <v>16</v>
      </c>
      <c r="J396" s="1" t="s">
        <v>39</v>
      </c>
      <c r="K396" s="1" t="s">
        <v>44</v>
      </c>
      <c r="L396" s="1">
        <v>0.0</v>
      </c>
    </row>
    <row r="397">
      <c r="A397" s="1" t="s">
        <v>822</v>
      </c>
      <c r="B397" s="1" t="s">
        <v>823</v>
      </c>
      <c r="C397" s="2">
        <v>45237.0</v>
      </c>
      <c r="D397" s="1">
        <v>7.1349435E7</v>
      </c>
      <c r="E397" s="1" t="s">
        <v>25</v>
      </c>
      <c r="F397" s="1" t="s">
        <v>26</v>
      </c>
      <c r="G397" s="1">
        <v>48.0</v>
      </c>
      <c r="H397" s="1">
        <v>1.0</v>
      </c>
      <c r="I397" s="1" t="s">
        <v>21</v>
      </c>
      <c r="J397" s="1" t="s">
        <v>43</v>
      </c>
      <c r="K397" s="1" t="s">
        <v>44</v>
      </c>
      <c r="L397" s="1">
        <v>0.0</v>
      </c>
    </row>
    <row r="398">
      <c r="A398" s="1" t="s">
        <v>824</v>
      </c>
      <c r="B398" s="1" t="s">
        <v>825</v>
      </c>
      <c r="C398" s="2">
        <v>44932.0</v>
      </c>
      <c r="D398" s="1">
        <v>7.8005464E7</v>
      </c>
      <c r="E398" s="1" t="s">
        <v>25</v>
      </c>
      <c r="F398" s="1" t="s">
        <v>42</v>
      </c>
      <c r="G398" s="1">
        <v>106.0</v>
      </c>
      <c r="H398" s="1">
        <v>1.0</v>
      </c>
      <c r="I398" s="1" t="s">
        <v>27</v>
      </c>
      <c r="J398" s="1" t="s">
        <v>39</v>
      </c>
      <c r="K398" s="1" t="s">
        <v>44</v>
      </c>
      <c r="L398" s="1">
        <v>0.0</v>
      </c>
    </row>
    <row r="399">
      <c r="A399" s="1" t="s">
        <v>826</v>
      </c>
      <c r="B399" s="1" t="s">
        <v>827</v>
      </c>
      <c r="C399" s="2">
        <v>45200.0</v>
      </c>
      <c r="D399" s="1">
        <v>6.3109214E7</v>
      </c>
      <c r="E399" s="1" t="s">
        <v>25</v>
      </c>
      <c r="F399" s="1" t="s">
        <v>15</v>
      </c>
      <c r="G399" s="1">
        <v>138.0</v>
      </c>
      <c r="H399" s="1">
        <v>1.0</v>
      </c>
      <c r="I399" s="1" t="s">
        <v>27</v>
      </c>
      <c r="J399" s="1" t="s">
        <v>17</v>
      </c>
      <c r="K399" s="1" t="s">
        <v>30</v>
      </c>
      <c r="L399" s="1">
        <v>0.0</v>
      </c>
    </row>
    <row r="400">
      <c r="A400" s="1" t="s">
        <v>828</v>
      </c>
      <c r="B400" s="1" t="s">
        <v>829</v>
      </c>
      <c r="C400" s="2">
        <v>45177.0</v>
      </c>
      <c r="D400" s="1">
        <v>8.1787111E7</v>
      </c>
      <c r="E400" s="1" t="s">
        <v>47</v>
      </c>
      <c r="F400" s="1" t="s">
        <v>33</v>
      </c>
      <c r="G400" s="1">
        <v>173.0</v>
      </c>
      <c r="H400" s="1">
        <v>1.0</v>
      </c>
      <c r="I400" s="1" t="s">
        <v>21</v>
      </c>
      <c r="J400" s="1" t="s">
        <v>17</v>
      </c>
      <c r="K400" s="1" t="s">
        <v>18</v>
      </c>
      <c r="L400" s="1">
        <v>0.0</v>
      </c>
    </row>
    <row r="401">
      <c r="A401" s="1" t="s">
        <v>830</v>
      </c>
      <c r="B401" s="1" t="s">
        <v>831</v>
      </c>
      <c r="C401" s="2">
        <v>45005.0</v>
      </c>
      <c r="D401" s="1">
        <v>4.2481041E7</v>
      </c>
      <c r="E401" s="1" t="s">
        <v>25</v>
      </c>
      <c r="F401" s="1" t="s">
        <v>26</v>
      </c>
      <c r="G401" s="1">
        <v>20.0</v>
      </c>
      <c r="H401" s="1">
        <v>1.0</v>
      </c>
      <c r="I401" s="1" t="s">
        <v>27</v>
      </c>
      <c r="J401" s="1" t="s">
        <v>35</v>
      </c>
      <c r="K401" s="1" t="s">
        <v>18</v>
      </c>
      <c r="L401" s="1">
        <v>0.0</v>
      </c>
    </row>
    <row r="402">
      <c r="A402" s="1" t="s">
        <v>832</v>
      </c>
      <c r="B402" s="1" t="s">
        <v>833</v>
      </c>
      <c r="C402" s="2">
        <v>45261.0</v>
      </c>
      <c r="D402" s="1">
        <v>1.2373291E7</v>
      </c>
      <c r="E402" s="1" t="s">
        <v>47</v>
      </c>
      <c r="F402" s="1" t="s">
        <v>33</v>
      </c>
      <c r="G402" s="1">
        <v>19.0</v>
      </c>
      <c r="H402" s="1">
        <v>1.0</v>
      </c>
      <c r="I402" s="1" t="s">
        <v>27</v>
      </c>
      <c r="J402" s="1" t="s">
        <v>22</v>
      </c>
      <c r="K402" s="1" t="s">
        <v>44</v>
      </c>
      <c r="L402" s="1">
        <v>0.0</v>
      </c>
    </row>
    <row r="403">
      <c r="A403" s="1" t="s">
        <v>834</v>
      </c>
      <c r="B403" s="1" t="s">
        <v>835</v>
      </c>
      <c r="C403" s="2">
        <v>45008.0</v>
      </c>
      <c r="D403" s="1">
        <v>5.0573738E7</v>
      </c>
      <c r="E403" s="1" t="s">
        <v>47</v>
      </c>
      <c r="F403" s="1" t="s">
        <v>15</v>
      </c>
      <c r="G403" s="1">
        <v>5.0</v>
      </c>
      <c r="H403" s="1">
        <v>1.0</v>
      </c>
      <c r="I403" s="1" t="s">
        <v>21</v>
      </c>
      <c r="J403" s="1" t="s">
        <v>22</v>
      </c>
      <c r="K403" s="1" t="s">
        <v>18</v>
      </c>
      <c r="L403" s="1">
        <v>0.0</v>
      </c>
    </row>
    <row r="404">
      <c r="A404" s="1" t="s">
        <v>836</v>
      </c>
      <c r="B404" s="1" t="s">
        <v>837</v>
      </c>
      <c r="C404" s="2">
        <v>45160.0</v>
      </c>
      <c r="D404" s="1">
        <v>8.7283006E7</v>
      </c>
      <c r="E404" s="1" t="s">
        <v>47</v>
      </c>
      <c r="F404" s="1" t="s">
        <v>26</v>
      </c>
      <c r="G404" s="1">
        <v>40.0</v>
      </c>
      <c r="H404" s="1">
        <v>1.0</v>
      </c>
      <c r="I404" s="1" t="s">
        <v>27</v>
      </c>
      <c r="J404" s="1" t="s">
        <v>35</v>
      </c>
      <c r="K404" s="1" t="s">
        <v>18</v>
      </c>
      <c r="L404" s="1">
        <v>0.0</v>
      </c>
    </row>
    <row r="405">
      <c r="A405" s="1" t="s">
        <v>838</v>
      </c>
      <c r="B405" s="1" t="s">
        <v>839</v>
      </c>
      <c r="C405" s="2">
        <v>45037.0</v>
      </c>
      <c r="D405" s="1">
        <v>8303745.0</v>
      </c>
      <c r="E405" s="1" t="s">
        <v>47</v>
      </c>
      <c r="F405" s="1" t="s">
        <v>33</v>
      </c>
      <c r="G405" s="1">
        <v>102.0</v>
      </c>
      <c r="H405" s="1">
        <v>1.0</v>
      </c>
      <c r="I405" s="1" t="s">
        <v>34</v>
      </c>
      <c r="J405" s="1" t="s">
        <v>22</v>
      </c>
      <c r="K405" s="1" t="s">
        <v>30</v>
      </c>
      <c r="L405" s="1">
        <v>1.0</v>
      </c>
    </row>
    <row r="406">
      <c r="A406" s="1" t="s">
        <v>840</v>
      </c>
      <c r="B406" s="1" t="s">
        <v>841</v>
      </c>
      <c r="C406" s="2">
        <v>45035.0</v>
      </c>
      <c r="D406" s="1">
        <v>7.3935469E7</v>
      </c>
      <c r="E406" s="1" t="s">
        <v>47</v>
      </c>
      <c r="F406" s="1" t="s">
        <v>42</v>
      </c>
      <c r="G406" s="1">
        <v>147.0</v>
      </c>
      <c r="H406" s="1">
        <v>1.0</v>
      </c>
      <c r="I406" s="1" t="s">
        <v>16</v>
      </c>
      <c r="J406" s="1" t="s">
        <v>39</v>
      </c>
      <c r="K406" s="1" t="s">
        <v>18</v>
      </c>
      <c r="L406" s="1">
        <v>0.0</v>
      </c>
    </row>
    <row r="407">
      <c r="A407" s="1" t="s">
        <v>842</v>
      </c>
      <c r="B407" s="1" t="s">
        <v>843</v>
      </c>
      <c r="C407" s="2">
        <v>44957.0</v>
      </c>
      <c r="D407" s="1">
        <v>7.0083606E7</v>
      </c>
      <c r="E407" s="1" t="s">
        <v>47</v>
      </c>
      <c r="F407" s="1" t="s">
        <v>26</v>
      </c>
      <c r="G407" s="1">
        <v>11.0</v>
      </c>
      <c r="H407" s="1">
        <v>1.0</v>
      </c>
      <c r="I407" s="1" t="s">
        <v>34</v>
      </c>
      <c r="J407" s="1" t="s">
        <v>43</v>
      </c>
      <c r="K407" s="1" t="s">
        <v>44</v>
      </c>
      <c r="L407" s="1">
        <v>1.0</v>
      </c>
    </row>
    <row r="408">
      <c r="A408" s="1" t="s">
        <v>844</v>
      </c>
      <c r="B408" s="1" t="s">
        <v>845</v>
      </c>
      <c r="C408" s="2">
        <v>45281.0</v>
      </c>
      <c r="D408" s="1">
        <v>9.9928025E7</v>
      </c>
      <c r="E408" s="1" t="s">
        <v>47</v>
      </c>
      <c r="F408" s="1" t="s">
        <v>26</v>
      </c>
      <c r="G408" s="1">
        <v>93.0</v>
      </c>
      <c r="H408" s="1">
        <v>0.0</v>
      </c>
      <c r="I408" s="1" t="s">
        <v>16</v>
      </c>
      <c r="J408" s="1" t="s">
        <v>39</v>
      </c>
      <c r="K408" s="1" t="s">
        <v>30</v>
      </c>
      <c r="L408" s="1">
        <v>0.0</v>
      </c>
    </row>
    <row r="409">
      <c r="A409" s="1" t="s">
        <v>846</v>
      </c>
      <c r="B409" s="1" t="s">
        <v>847</v>
      </c>
      <c r="C409" s="2">
        <v>45186.0</v>
      </c>
      <c r="D409" s="1">
        <v>4.2916987E7</v>
      </c>
      <c r="E409" s="1" t="s">
        <v>25</v>
      </c>
      <c r="F409" s="1" t="s">
        <v>38</v>
      </c>
      <c r="G409" s="1">
        <v>8.0</v>
      </c>
      <c r="H409" s="1">
        <v>0.0</v>
      </c>
      <c r="I409" s="1" t="s">
        <v>27</v>
      </c>
      <c r="J409" s="1" t="s">
        <v>35</v>
      </c>
      <c r="K409" s="1" t="s">
        <v>30</v>
      </c>
      <c r="L409" s="1">
        <v>0.0</v>
      </c>
    </row>
    <row r="410">
      <c r="A410" s="1" t="s">
        <v>848</v>
      </c>
      <c r="B410" s="1" t="s">
        <v>849</v>
      </c>
      <c r="C410" s="2">
        <v>45055.0</v>
      </c>
      <c r="D410" s="1">
        <v>6.8621735E7</v>
      </c>
      <c r="E410" s="1" t="s">
        <v>14</v>
      </c>
      <c r="F410" s="1" t="s">
        <v>33</v>
      </c>
      <c r="G410" s="1">
        <v>73.0</v>
      </c>
      <c r="H410" s="1">
        <v>0.0</v>
      </c>
      <c r="I410" s="1" t="s">
        <v>27</v>
      </c>
      <c r="J410" s="1" t="s">
        <v>35</v>
      </c>
      <c r="K410" s="1" t="s">
        <v>30</v>
      </c>
      <c r="L410" s="1">
        <v>0.0</v>
      </c>
    </row>
    <row r="411">
      <c r="A411" s="1" t="s">
        <v>850</v>
      </c>
      <c r="B411" s="1" t="s">
        <v>851</v>
      </c>
      <c r="C411" s="2">
        <v>45276.0</v>
      </c>
      <c r="D411" s="1">
        <v>2.0957162E7</v>
      </c>
      <c r="E411" s="1" t="s">
        <v>14</v>
      </c>
      <c r="F411" s="1" t="s">
        <v>26</v>
      </c>
      <c r="G411" s="1">
        <v>106.0</v>
      </c>
      <c r="H411" s="1">
        <v>1.0</v>
      </c>
      <c r="I411" s="1" t="s">
        <v>34</v>
      </c>
      <c r="J411" s="1" t="s">
        <v>22</v>
      </c>
      <c r="K411" s="1" t="s">
        <v>30</v>
      </c>
      <c r="L411" s="1">
        <v>0.0</v>
      </c>
    </row>
    <row r="412">
      <c r="A412" s="1" t="s">
        <v>852</v>
      </c>
      <c r="B412" s="1" t="s">
        <v>853</v>
      </c>
      <c r="C412" s="2">
        <v>45227.0</v>
      </c>
      <c r="D412" s="1">
        <v>6078164.0</v>
      </c>
      <c r="E412" s="1" t="s">
        <v>47</v>
      </c>
      <c r="F412" s="1" t="s">
        <v>15</v>
      </c>
      <c r="G412" s="1">
        <v>100.0</v>
      </c>
      <c r="H412" s="1">
        <v>1.0</v>
      </c>
      <c r="I412" s="1" t="s">
        <v>27</v>
      </c>
      <c r="J412" s="1" t="s">
        <v>22</v>
      </c>
      <c r="K412" s="1" t="s">
        <v>44</v>
      </c>
      <c r="L412" s="1">
        <v>0.0</v>
      </c>
    </row>
    <row r="413">
      <c r="A413" s="1" t="s">
        <v>854</v>
      </c>
      <c r="B413" s="1" t="s">
        <v>855</v>
      </c>
      <c r="C413" s="2">
        <v>45099.0</v>
      </c>
      <c r="D413" s="1">
        <v>416665.0</v>
      </c>
      <c r="E413" s="1" t="s">
        <v>47</v>
      </c>
      <c r="F413" s="1" t="s">
        <v>38</v>
      </c>
      <c r="G413" s="1">
        <v>160.0</v>
      </c>
      <c r="H413" s="1">
        <v>0.0</v>
      </c>
      <c r="I413" s="1" t="s">
        <v>34</v>
      </c>
      <c r="J413" s="1" t="s">
        <v>39</v>
      </c>
      <c r="K413" s="1" t="s">
        <v>30</v>
      </c>
      <c r="L413" s="1">
        <v>0.0</v>
      </c>
    </row>
    <row r="414">
      <c r="A414" s="1" t="s">
        <v>856</v>
      </c>
      <c r="B414" s="1" t="s">
        <v>857</v>
      </c>
      <c r="C414" s="2">
        <v>45163.0</v>
      </c>
      <c r="D414" s="1">
        <v>9.6012611E7</v>
      </c>
      <c r="E414" s="1" t="s">
        <v>14</v>
      </c>
      <c r="F414" s="1" t="s">
        <v>33</v>
      </c>
      <c r="G414" s="1">
        <v>119.0</v>
      </c>
      <c r="H414" s="1">
        <v>1.0</v>
      </c>
      <c r="I414" s="1" t="s">
        <v>27</v>
      </c>
      <c r="J414" s="1" t="s">
        <v>35</v>
      </c>
      <c r="K414" s="1" t="s">
        <v>18</v>
      </c>
      <c r="L414" s="1">
        <v>0.0</v>
      </c>
    </row>
    <row r="415">
      <c r="A415" s="1" t="s">
        <v>858</v>
      </c>
      <c r="B415" s="1" t="s">
        <v>859</v>
      </c>
      <c r="C415" s="2">
        <v>45042.0</v>
      </c>
      <c r="D415" s="1">
        <v>1.9706955E7</v>
      </c>
      <c r="E415" s="1" t="s">
        <v>47</v>
      </c>
      <c r="F415" s="1" t="s">
        <v>26</v>
      </c>
      <c r="G415" s="1">
        <v>72.0</v>
      </c>
      <c r="H415" s="1">
        <v>0.0</v>
      </c>
      <c r="I415" s="1" t="s">
        <v>21</v>
      </c>
      <c r="J415" s="1" t="s">
        <v>17</v>
      </c>
      <c r="K415" s="1" t="s">
        <v>30</v>
      </c>
      <c r="L415" s="1">
        <v>1.0</v>
      </c>
    </row>
    <row r="416">
      <c r="A416" s="1" t="s">
        <v>860</v>
      </c>
      <c r="B416" s="1" t="s">
        <v>861</v>
      </c>
      <c r="C416" s="2">
        <v>45181.0</v>
      </c>
      <c r="D416" s="1">
        <v>9.0643231E7</v>
      </c>
      <c r="E416" s="1" t="s">
        <v>25</v>
      </c>
      <c r="F416" s="1" t="s">
        <v>42</v>
      </c>
      <c r="G416" s="1">
        <v>39.0</v>
      </c>
      <c r="H416" s="1">
        <v>1.0</v>
      </c>
      <c r="I416" s="1" t="s">
        <v>34</v>
      </c>
      <c r="J416" s="1" t="s">
        <v>17</v>
      </c>
      <c r="K416" s="1" t="s">
        <v>18</v>
      </c>
      <c r="L416" s="1">
        <v>0.0</v>
      </c>
    </row>
    <row r="417">
      <c r="A417" s="1" t="s">
        <v>862</v>
      </c>
      <c r="B417" s="1" t="s">
        <v>863</v>
      </c>
      <c r="C417" s="2">
        <v>44927.0</v>
      </c>
      <c r="D417" s="1">
        <v>4.8090001E7</v>
      </c>
      <c r="E417" s="1" t="s">
        <v>47</v>
      </c>
      <c r="F417" s="1" t="s">
        <v>38</v>
      </c>
      <c r="G417" s="1">
        <v>174.0</v>
      </c>
      <c r="H417" s="1">
        <v>1.0</v>
      </c>
      <c r="I417" s="1" t="s">
        <v>21</v>
      </c>
      <c r="J417" s="1" t="s">
        <v>39</v>
      </c>
      <c r="K417" s="1" t="s">
        <v>18</v>
      </c>
      <c r="L417" s="1">
        <v>0.0</v>
      </c>
    </row>
    <row r="418">
      <c r="A418" s="1" t="s">
        <v>864</v>
      </c>
      <c r="B418" s="1" t="s">
        <v>865</v>
      </c>
      <c r="C418" s="2">
        <v>45200.0</v>
      </c>
      <c r="D418" s="1">
        <v>5.0066766E7</v>
      </c>
      <c r="E418" s="1" t="s">
        <v>25</v>
      </c>
      <c r="F418" s="1" t="s">
        <v>42</v>
      </c>
      <c r="G418" s="1">
        <v>18.0</v>
      </c>
      <c r="H418" s="1">
        <v>1.0</v>
      </c>
      <c r="I418" s="1" t="s">
        <v>16</v>
      </c>
      <c r="J418" s="1" t="s">
        <v>35</v>
      </c>
      <c r="K418" s="1" t="s">
        <v>18</v>
      </c>
      <c r="L418" s="1">
        <v>0.0</v>
      </c>
    </row>
    <row r="419">
      <c r="A419" s="1" t="s">
        <v>866</v>
      </c>
      <c r="B419" s="1" t="s">
        <v>867</v>
      </c>
      <c r="C419" s="2">
        <v>45018.0</v>
      </c>
      <c r="D419" s="1">
        <v>6.9542442E7</v>
      </c>
      <c r="E419" s="1" t="s">
        <v>14</v>
      </c>
      <c r="F419" s="1" t="s">
        <v>26</v>
      </c>
      <c r="G419" s="1">
        <v>132.0</v>
      </c>
      <c r="H419" s="1">
        <v>1.0</v>
      </c>
      <c r="I419" s="1" t="s">
        <v>27</v>
      </c>
      <c r="J419" s="1" t="s">
        <v>35</v>
      </c>
      <c r="K419" s="1" t="s">
        <v>44</v>
      </c>
      <c r="L419" s="1">
        <v>0.0</v>
      </c>
    </row>
    <row r="420">
      <c r="A420" s="1" t="s">
        <v>868</v>
      </c>
      <c r="B420" s="1" t="s">
        <v>869</v>
      </c>
      <c r="C420" s="2">
        <v>45155.0</v>
      </c>
      <c r="D420" s="1">
        <v>8.3483745E7</v>
      </c>
      <c r="E420" s="1" t="s">
        <v>25</v>
      </c>
      <c r="F420" s="1" t="s">
        <v>33</v>
      </c>
      <c r="G420" s="1">
        <v>118.0</v>
      </c>
      <c r="H420" s="1">
        <v>1.0</v>
      </c>
      <c r="I420" s="1" t="s">
        <v>21</v>
      </c>
      <c r="J420" s="1" t="s">
        <v>22</v>
      </c>
      <c r="K420" s="1" t="s">
        <v>18</v>
      </c>
      <c r="L420" s="1">
        <v>0.0</v>
      </c>
    </row>
    <row r="421">
      <c r="A421" s="1" t="s">
        <v>870</v>
      </c>
      <c r="B421" s="1" t="s">
        <v>871</v>
      </c>
      <c r="C421" s="2">
        <v>45114.0</v>
      </c>
      <c r="D421" s="1">
        <v>1.1330158E7</v>
      </c>
      <c r="E421" s="1" t="s">
        <v>47</v>
      </c>
      <c r="F421" s="1" t="s">
        <v>33</v>
      </c>
      <c r="G421" s="1">
        <v>150.0</v>
      </c>
      <c r="H421" s="1">
        <v>1.0</v>
      </c>
      <c r="I421" s="1" t="s">
        <v>34</v>
      </c>
      <c r="J421" s="1" t="s">
        <v>39</v>
      </c>
      <c r="K421" s="1" t="s">
        <v>18</v>
      </c>
      <c r="L421" s="1">
        <v>1.0</v>
      </c>
    </row>
    <row r="422">
      <c r="A422" s="1" t="s">
        <v>872</v>
      </c>
      <c r="B422" s="1" t="s">
        <v>873</v>
      </c>
      <c r="C422" s="2">
        <v>44948.0</v>
      </c>
      <c r="D422" s="1">
        <v>6447434.0</v>
      </c>
      <c r="E422" s="1" t="s">
        <v>14</v>
      </c>
      <c r="F422" s="1" t="s">
        <v>38</v>
      </c>
      <c r="G422" s="1">
        <v>111.0</v>
      </c>
      <c r="H422" s="1">
        <v>0.0</v>
      </c>
      <c r="I422" s="1" t="s">
        <v>27</v>
      </c>
      <c r="J422" s="1" t="s">
        <v>43</v>
      </c>
      <c r="K422" s="1" t="s">
        <v>30</v>
      </c>
      <c r="L422" s="1">
        <v>0.0</v>
      </c>
    </row>
    <row r="423">
      <c r="A423" s="1" t="s">
        <v>874</v>
      </c>
      <c r="B423" s="1" t="s">
        <v>875</v>
      </c>
      <c r="C423" s="2">
        <v>44990.0</v>
      </c>
      <c r="D423" s="1">
        <v>9328099.0</v>
      </c>
      <c r="E423" s="1" t="s">
        <v>25</v>
      </c>
      <c r="F423" s="1" t="s">
        <v>26</v>
      </c>
      <c r="G423" s="1">
        <v>173.0</v>
      </c>
      <c r="H423" s="1">
        <v>0.0</v>
      </c>
      <c r="I423" s="1" t="s">
        <v>27</v>
      </c>
      <c r="J423" s="1" t="s">
        <v>35</v>
      </c>
      <c r="K423" s="1" t="s">
        <v>18</v>
      </c>
      <c r="L423" s="1">
        <v>0.0</v>
      </c>
    </row>
    <row r="424">
      <c r="A424" s="1" t="s">
        <v>876</v>
      </c>
      <c r="B424" s="1" t="s">
        <v>877</v>
      </c>
      <c r="C424" s="2">
        <v>45149.0</v>
      </c>
      <c r="D424" s="1">
        <v>6.2785662E7</v>
      </c>
      <c r="E424" s="1" t="s">
        <v>47</v>
      </c>
      <c r="F424" s="1" t="s">
        <v>42</v>
      </c>
      <c r="G424" s="1">
        <v>43.0</v>
      </c>
      <c r="H424" s="1">
        <v>1.0</v>
      </c>
      <c r="I424" s="1" t="s">
        <v>27</v>
      </c>
      <c r="J424" s="1" t="s">
        <v>35</v>
      </c>
      <c r="K424" s="1" t="s">
        <v>30</v>
      </c>
      <c r="L424" s="1">
        <v>0.0</v>
      </c>
    </row>
    <row r="425">
      <c r="A425" s="1" t="s">
        <v>878</v>
      </c>
      <c r="B425" s="1" t="s">
        <v>879</v>
      </c>
      <c r="C425" s="2">
        <v>45028.0</v>
      </c>
      <c r="D425" s="1">
        <v>8046031.0</v>
      </c>
      <c r="E425" s="1" t="s">
        <v>25</v>
      </c>
      <c r="F425" s="1" t="s">
        <v>15</v>
      </c>
      <c r="G425" s="1">
        <v>47.0</v>
      </c>
      <c r="H425" s="1">
        <v>1.0</v>
      </c>
      <c r="I425" s="1" t="s">
        <v>34</v>
      </c>
      <c r="J425" s="1" t="s">
        <v>22</v>
      </c>
      <c r="K425" s="1" t="s">
        <v>18</v>
      </c>
      <c r="L425" s="1">
        <v>0.0</v>
      </c>
    </row>
    <row r="426">
      <c r="A426" s="1" t="s">
        <v>880</v>
      </c>
      <c r="B426" s="1" t="s">
        <v>881</v>
      </c>
      <c r="C426" s="2">
        <v>45072.0</v>
      </c>
      <c r="D426" s="1">
        <v>2.0549848E7</v>
      </c>
      <c r="E426" s="1" t="s">
        <v>47</v>
      </c>
      <c r="F426" s="1" t="s">
        <v>15</v>
      </c>
      <c r="G426" s="1">
        <v>72.0</v>
      </c>
      <c r="H426" s="1">
        <v>1.0</v>
      </c>
      <c r="I426" s="1" t="s">
        <v>21</v>
      </c>
      <c r="J426" s="1" t="s">
        <v>17</v>
      </c>
      <c r="K426" s="1" t="s">
        <v>44</v>
      </c>
      <c r="L426" s="1">
        <v>0.0</v>
      </c>
    </row>
    <row r="427">
      <c r="A427" s="1" t="s">
        <v>882</v>
      </c>
      <c r="B427" s="1" t="s">
        <v>883</v>
      </c>
      <c r="C427" s="2">
        <v>44965.0</v>
      </c>
      <c r="D427" s="1">
        <v>3.3264509E7</v>
      </c>
      <c r="E427" s="1" t="s">
        <v>47</v>
      </c>
      <c r="F427" s="1" t="s">
        <v>42</v>
      </c>
      <c r="G427" s="1">
        <v>32.0</v>
      </c>
      <c r="H427" s="1">
        <v>1.0</v>
      </c>
      <c r="I427" s="1" t="s">
        <v>16</v>
      </c>
      <c r="J427" s="1" t="s">
        <v>22</v>
      </c>
      <c r="K427" s="1" t="s">
        <v>44</v>
      </c>
      <c r="L427" s="1">
        <v>0.0</v>
      </c>
    </row>
    <row r="428">
      <c r="A428" s="1" t="s">
        <v>884</v>
      </c>
      <c r="B428" s="1" t="s">
        <v>885</v>
      </c>
      <c r="C428" s="2">
        <v>45134.0</v>
      </c>
      <c r="D428" s="1">
        <v>8.8209722E7</v>
      </c>
      <c r="E428" s="1" t="s">
        <v>47</v>
      </c>
      <c r="F428" s="1" t="s">
        <v>42</v>
      </c>
      <c r="G428" s="1">
        <v>148.0</v>
      </c>
      <c r="H428" s="1">
        <v>1.0</v>
      </c>
      <c r="I428" s="1" t="s">
        <v>27</v>
      </c>
      <c r="J428" s="1" t="s">
        <v>35</v>
      </c>
      <c r="K428" s="1" t="s">
        <v>18</v>
      </c>
      <c r="L428" s="1">
        <v>0.0</v>
      </c>
    </row>
    <row r="429">
      <c r="A429" s="1" t="s">
        <v>886</v>
      </c>
      <c r="B429" s="1" t="s">
        <v>887</v>
      </c>
      <c r="C429" s="2">
        <v>45070.0</v>
      </c>
      <c r="D429" s="1">
        <v>2.2686992E7</v>
      </c>
      <c r="E429" s="1" t="s">
        <v>25</v>
      </c>
      <c r="F429" s="1" t="s">
        <v>15</v>
      </c>
      <c r="G429" s="1">
        <v>167.0</v>
      </c>
      <c r="H429" s="1">
        <v>1.0</v>
      </c>
      <c r="I429" s="1" t="s">
        <v>27</v>
      </c>
      <c r="J429" s="1" t="s">
        <v>17</v>
      </c>
      <c r="K429" s="1" t="s">
        <v>44</v>
      </c>
      <c r="L429" s="1">
        <v>0.0</v>
      </c>
    </row>
    <row r="430">
      <c r="A430" s="1" t="s">
        <v>888</v>
      </c>
      <c r="B430" s="1" t="s">
        <v>889</v>
      </c>
      <c r="C430" s="2">
        <v>45141.0</v>
      </c>
      <c r="D430" s="1">
        <v>6.2256131E7</v>
      </c>
      <c r="E430" s="1" t="s">
        <v>47</v>
      </c>
      <c r="F430" s="1" t="s">
        <v>33</v>
      </c>
      <c r="G430" s="1">
        <v>108.0</v>
      </c>
      <c r="H430" s="1">
        <v>0.0</v>
      </c>
      <c r="I430" s="1" t="s">
        <v>21</v>
      </c>
      <c r="J430" s="1" t="s">
        <v>35</v>
      </c>
      <c r="K430" s="1" t="s">
        <v>44</v>
      </c>
      <c r="L430" s="1">
        <v>0.0</v>
      </c>
    </row>
    <row r="431">
      <c r="A431" s="1" t="s">
        <v>890</v>
      </c>
      <c r="B431" s="1" t="s">
        <v>891</v>
      </c>
      <c r="C431" s="2">
        <v>45164.0</v>
      </c>
      <c r="D431" s="1">
        <v>2.1026683E7</v>
      </c>
      <c r="E431" s="1" t="s">
        <v>14</v>
      </c>
      <c r="F431" s="1" t="s">
        <v>38</v>
      </c>
      <c r="G431" s="1">
        <v>49.0</v>
      </c>
      <c r="H431" s="1">
        <v>1.0</v>
      </c>
      <c r="I431" s="1" t="s">
        <v>34</v>
      </c>
      <c r="J431" s="1" t="s">
        <v>35</v>
      </c>
      <c r="K431" s="1" t="s">
        <v>30</v>
      </c>
      <c r="L431" s="1">
        <v>0.0</v>
      </c>
    </row>
    <row r="432">
      <c r="A432" s="1" t="s">
        <v>892</v>
      </c>
      <c r="B432" s="1" t="s">
        <v>893</v>
      </c>
      <c r="C432" s="2">
        <v>44944.0</v>
      </c>
      <c r="D432" s="1">
        <v>5.6773101E7</v>
      </c>
      <c r="E432" s="1" t="s">
        <v>25</v>
      </c>
      <c r="F432" s="1" t="s">
        <v>15</v>
      </c>
      <c r="G432" s="1">
        <v>89.0</v>
      </c>
      <c r="H432" s="1">
        <v>0.0</v>
      </c>
      <c r="I432" s="1" t="s">
        <v>27</v>
      </c>
      <c r="J432" s="1" t="s">
        <v>43</v>
      </c>
      <c r="K432" s="1" t="s">
        <v>44</v>
      </c>
      <c r="L432" s="1">
        <v>0.0</v>
      </c>
    </row>
    <row r="433">
      <c r="A433" s="1" t="s">
        <v>894</v>
      </c>
      <c r="B433" s="1" t="s">
        <v>895</v>
      </c>
      <c r="C433" s="2">
        <v>45163.0</v>
      </c>
      <c r="D433" s="1">
        <v>5.7266374E7</v>
      </c>
      <c r="E433" s="1" t="s">
        <v>14</v>
      </c>
      <c r="F433" s="1" t="s">
        <v>26</v>
      </c>
      <c r="G433" s="1">
        <v>57.0</v>
      </c>
      <c r="H433" s="1">
        <v>1.0</v>
      </c>
      <c r="I433" s="1" t="s">
        <v>21</v>
      </c>
      <c r="J433" s="1" t="s">
        <v>43</v>
      </c>
      <c r="K433" s="1" t="s">
        <v>44</v>
      </c>
      <c r="L433" s="1">
        <v>0.0</v>
      </c>
    </row>
    <row r="434">
      <c r="A434" s="1" t="s">
        <v>896</v>
      </c>
      <c r="B434" s="1" t="s">
        <v>897</v>
      </c>
      <c r="C434" s="2">
        <v>45041.0</v>
      </c>
      <c r="D434" s="1">
        <v>5.6939804E7</v>
      </c>
      <c r="E434" s="1" t="s">
        <v>47</v>
      </c>
      <c r="F434" s="1" t="s">
        <v>15</v>
      </c>
      <c r="G434" s="1">
        <v>158.0</v>
      </c>
      <c r="H434" s="1">
        <v>1.0</v>
      </c>
      <c r="I434" s="1" t="s">
        <v>27</v>
      </c>
      <c r="J434" s="1" t="s">
        <v>39</v>
      </c>
      <c r="K434" s="1" t="s">
        <v>44</v>
      </c>
      <c r="L434" s="1">
        <v>0.0</v>
      </c>
    </row>
    <row r="435">
      <c r="A435" s="1" t="s">
        <v>898</v>
      </c>
      <c r="B435" s="1" t="s">
        <v>899</v>
      </c>
      <c r="C435" s="2">
        <v>45102.0</v>
      </c>
      <c r="D435" s="1">
        <v>6.6965817E7</v>
      </c>
      <c r="E435" s="1" t="s">
        <v>47</v>
      </c>
      <c r="F435" s="1" t="s">
        <v>38</v>
      </c>
      <c r="G435" s="1">
        <v>177.0</v>
      </c>
      <c r="H435" s="1">
        <v>1.0</v>
      </c>
      <c r="I435" s="1" t="s">
        <v>27</v>
      </c>
      <c r="J435" s="1" t="s">
        <v>39</v>
      </c>
      <c r="K435" s="1" t="s">
        <v>18</v>
      </c>
      <c r="L435" s="1">
        <v>0.0</v>
      </c>
    </row>
    <row r="436">
      <c r="A436" s="1" t="s">
        <v>900</v>
      </c>
      <c r="B436" s="1" t="s">
        <v>901</v>
      </c>
      <c r="C436" s="2">
        <v>45121.0</v>
      </c>
      <c r="D436" s="1">
        <v>6.8006211E7</v>
      </c>
      <c r="E436" s="1" t="s">
        <v>14</v>
      </c>
      <c r="F436" s="1" t="s">
        <v>42</v>
      </c>
      <c r="G436" s="1">
        <v>86.0</v>
      </c>
      <c r="H436" s="1">
        <v>1.0</v>
      </c>
      <c r="I436" s="1" t="s">
        <v>34</v>
      </c>
      <c r="J436" s="1" t="s">
        <v>22</v>
      </c>
      <c r="K436" s="1" t="s">
        <v>18</v>
      </c>
      <c r="L436" s="1">
        <v>0.0</v>
      </c>
    </row>
    <row r="437">
      <c r="A437" s="1" t="s">
        <v>902</v>
      </c>
      <c r="B437" s="1" t="s">
        <v>903</v>
      </c>
      <c r="C437" s="2">
        <v>45194.0</v>
      </c>
      <c r="D437" s="1">
        <v>1.608382E7</v>
      </c>
      <c r="E437" s="1" t="s">
        <v>47</v>
      </c>
      <c r="F437" s="1" t="s">
        <v>38</v>
      </c>
      <c r="G437" s="1">
        <v>138.0</v>
      </c>
      <c r="H437" s="1">
        <v>1.0</v>
      </c>
      <c r="I437" s="1" t="s">
        <v>34</v>
      </c>
      <c r="J437" s="1" t="s">
        <v>39</v>
      </c>
      <c r="K437" s="1" t="s">
        <v>44</v>
      </c>
      <c r="L437" s="1">
        <v>0.0</v>
      </c>
    </row>
    <row r="438">
      <c r="A438" s="1" t="s">
        <v>904</v>
      </c>
      <c r="B438" s="1" t="s">
        <v>905</v>
      </c>
      <c r="C438" s="2">
        <v>45223.0</v>
      </c>
      <c r="D438" s="1">
        <v>3.5776758E7</v>
      </c>
      <c r="E438" s="1" t="s">
        <v>25</v>
      </c>
      <c r="F438" s="1" t="s">
        <v>38</v>
      </c>
      <c r="G438" s="1">
        <v>88.0</v>
      </c>
      <c r="H438" s="1">
        <v>0.0</v>
      </c>
      <c r="I438" s="1" t="s">
        <v>27</v>
      </c>
      <c r="J438" s="1" t="s">
        <v>35</v>
      </c>
      <c r="K438" s="1" t="s">
        <v>30</v>
      </c>
      <c r="L438" s="1">
        <v>0.0</v>
      </c>
    </row>
    <row r="439">
      <c r="A439" s="1" t="s">
        <v>906</v>
      </c>
      <c r="B439" s="1" t="s">
        <v>907</v>
      </c>
      <c r="C439" s="2">
        <v>44974.0</v>
      </c>
      <c r="D439" s="1">
        <v>4.9503128E7</v>
      </c>
      <c r="E439" s="1" t="s">
        <v>47</v>
      </c>
      <c r="F439" s="1" t="s">
        <v>38</v>
      </c>
      <c r="G439" s="1">
        <v>73.0</v>
      </c>
      <c r="H439" s="1">
        <v>1.0</v>
      </c>
      <c r="I439" s="1" t="s">
        <v>16</v>
      </c>
      <c r="J439" s="1" t="s">
        <v>17</v>
      </c>
      <c r="K439" s="1" t="s">
        <v>44</v>
      </c>
      <c r="L439" s="1">
        <v>0.0</v>
      </c>
    </row>
    <row r="440">
      <c r="A440" s="1" t="s">
        <v>908</v>
      </c>
      <c r="B440" s="1" t="s">
        <v>909</v>
      </c>
      <c r="C440" s="2">
        <v>45187.0</v>
      </c>
      <c r="D440" s="1">
        <v>6.6720126E7</v>
      </c>
      <c r="E440" s="1" t="s">
        <v>25</v>
      </c>
      <c r="F440" s="1" t="s">
        <v>33</v>
      </c>
      <c r="G440" s="1">
        <v>100.0</v>
      </c>
      <c r="H440" s="1">
        <v>1.0</v>
      </c>
      <c r="I440" s="1" t="s">
        <v>27</v>
      </c>
      <c r="J440" s="1" t="s">
        <v>43</v>
      </c>
      <c r="K440" s="1" t="s">
        <v>18</v>
      </c>
      <c r="L440" s="1">
        <v>0.0</v>
      </c>
    </row>
    <row r="441">
      <c r="A441" s="1" t="s">
        <v>910</v>
      </c>
      <c r="B441" s="1" t="s">
        <v>911</v>
      </c>
      <c r="C441" s="2">
        <v>45181.0</v>
      </c>
      <c r="D441" s="1">
        <v>4.8502344E7</v>
      </c>
      <c r="E441" s="1" t="s">
        <v>14</v>
      </c>
      <c r="F441" s="1" t="s">
        <v>15</v>
      </c>
      <c r="G441" s="1">
        <v>98.0</v>
      </c>
      <c r="H441" s="1">
        <v>0.0</v>
      </c>
      <c r="I441" s="1" t="s">
        <v>27</v>
      </c>
      <c r="J441" s="1" t="s">
        <v>17</v>
      </c>
      <c r="K441" s="1" t="s">
        <v>18</v>
      </c>
      <c r="L441" s="1">
        <v>0.0</v>
      </c>
    </row>
    <row r="442">
      <c r="A442" s="1" t="s">
        <v>912</v>
      </c>
      <c r="B442" s="1" t="s">
        <v>913</v>
      </c>
      <c r="C442" s="2">
        <v>45061.0</v>
      </c>
      <c r="D442" s="1">
        <v>4554219.0</v>
      </c>
      <c r="E442" s="1" t="s">
        <v>25</v>
      </c>
      <c r="F442" s="1" t="s">
        <v>33</v>
      </c>
      <c r="G442" s="1">
        <v>111.0</v>
      </c>
      <c r="H442" s="1">
        <v>1.0</v>
      </c>
      <c r="I442" s="1" t="s">
        <v>16</v>
      </c>
      <c r="J442" s="1" t="s">
        <v>43</v>
      </c>
      <c r="K442" s="1" t="s">
        <v>30</v>
      </c>
      <c r="L442" s="1">
        <v>0.0</v>
      </c>
    </row>
    <row r="443">
      <c r="A443" s="1" t="s">
        <v>914</v>
      </c>
      <c r="B443" s="1" t="s">
        <v>915</v>
      </c>
      <c r="C443" s="2">
        <v>45255.0</v>
      </c>
      <c r="D443" s="1">
        <v>7.9132411E7</v>
      </c>
      <c r="E443" s="1" t="s">
        <v>14</v>
      </c>
      <c r="F443" s="1" t="s">
        <v>42</v>
      </c>
      <c r="G443" s="1">
        <v>96.0</v>
      </c>
      <c r="H443" s="1">
        <v>0.0</v>
      </c>
      <c r="I443" s="1" t="s">
        <v>27</v>
      </c>
      <c r="J443" s="1" t="s">
        <v>17</v>
      </c>
      <c r="K443" s="1" t="s">
        <v>18</v>
      </c>
      <c r="L443" s="1">
        <v>0.0</v>
      </c>
    </row>
    <row r="444">
      <c r="A444" s="1" t="s">
        <v>916</v>
      </c>
      <c r="B444" s="1" t="s">
        <v>917</v>
      </c>
      <c r="C444" s="2">
        <v>45127.0</v>
      </c>
      <c r="D444" s="1">
        <v>7.5689049E7</v>
      </c>
      <c r="E444" s="1" t="s">
        <v>14</v>
      </c>
      <c r="F444" s="1" t="s">
        <v>15</v>
      </c>
      <c r="G444" s="1">
        <v>165.0</v>
      </c>
      <c r="H444" s="1">
        <v>1.0</v>
      </c>
      <c r="I444" s="1" t="s">
        <v>16</v>
      </c>
      <c r="J444" s="1" t="s">
        <v>39</v>
      </c>
      <c r="K444" s="1" t="s">
        <v>44</v>
      </c>
      <c r="L444" s="1">
        <v>0.0</v>
      </c>
    </row>
    <row r="445">
      <c r="A445" s="1" t="s">
        <v>918</v>
      </c>
      <c r="B445" s="1" t="s">
        <v>919</v>
      </c>
      <c r="C445" s="2">
        <v>45156.0</v>
      </c>
      <c r="D445" s="1">
        <v>2.1154768E7</v>
      </c>
      <c r="E445" s="1" t="s">
        <v>14</v>
      </c>
      <c r="F445" s="1" t="s">
        <v>33</v>
      </c>
      <c r="G445" s="1">
        <v>174.0</v>
      </c>
      <c r="H445" s="1">
        <v>1.0</v>
      </c>
      <c r="I445" s="1" t="s">
        <v>34</v>
      </c>
      <c r="J445" s="1" t="s">
        <v>43</v>
      </c>
      <c r="K445" s="1" t="s">
        <v>18</v>
      </c>
      <c r="L445" s="1">
        <v>0.0</v>
      </c>
    </row>
    <row r="446">
      <c r="A446" s="1" t="s">
        <v>920</v>
      </c>
      <c r="B446" s="1" t="s">
        <v>921</v>
      </c>
      <c r="C446" s="2">
        <v>44945.0</v>
      </c>
      <c r="D446" s="1">
        <v>4.6369307E7</v>
      </c>
      <c r="E446" s="1" t="s">
        <v>47</v>
      </c>
      <c r="F446" s="1" t="s">
        <v>33</v>
      </c>
      <c r="G446" s="1">
        <v>162.0</v>
      </c>
      <c r="H446" s="1">
        <v>1.0</v>
      </c>
      <c r="I446" s="1" t="s">
        <v>34</v>
      </c>
      <c r="J446" s="1" t="s">
        <v>35</v>
      </c>
      <c r="K446" s="1" t="s">
        <v>30</v>
      </c>
      <c r="L446" s="1">
        <v>0.0</v>
      </c>
    </row>
    <row r="447">
      <c r="A447" s="1" t="s">
        <v>922</v>
      </c>
      <c r="B447" s="1" t="s">
        <v>923</v>
      </c>
      <c r="C447" s="2">
        <v>44929.0</v>
      </c>
      <c r="D447" s="1">
        <v>3.1159333E7</v>
      </c>
      <c r="E447" s="1" t="s">
        <v>14</v>
      </c>
      <c r="F447" s="1" t="s">
        <v>38</v>
      </c>
      <c r="G447" s="1">
        <v>146.0</v>
      </c>
      <c r="H447" s="1">
        <v>1.0</v>
      </c>
      <c r="I447" s="1" t="s">
        <v>21</v>
      </c>
      <c r="J447" s="1" t="s">
        <v>35</v>
      </c>
      <c r="K447" s="1" t="s">
        <v>30</v>
      </c>
      <c r="L447" s="1">
        <v>0.0</v>
      </c>
    </row>
    <row r="448">
      <c r="A448" s="1" t="s">
        <v>924</v>
      </c>
      <c r="B448" s="1" t="s">
        <v>925</v>
      </c>
      <c r="C448" s="2">
        <v>45124.0</v>
      </c>
      <c r="D448" s="1">
        <v>8.3524189E7</v>
      </c>
      <c r="E448" s="1" t="s">
        <v>14</v>
      </c>
      <c r="F448" s="1" t="s">
        <v>33</v>
      </c>
      <c r="G448" s="1">
        <v>113.0</v>
      </c>
      <c r="H448" s="1">
        <v>1.0</v>
      </c>
      <c r="I448" s="1" t="s">
        <v>21</v>
      </c>
      <c r="J448" s="1" t="s">
        <v>43</v>
      </c>
      <c r="K448" s="1" t="s">
        <v>30</v>
      </c>
      <c r="L448" s="1">
        <v>0.0</v>
      </c>
    </row>
    <row r="449">
      <c r="A449" s="1" t="s">
        <v>926</v>
      </c>
      <c r="B449" s="1" t="s">
        <v>927</v>
      </c>
      <c r="C449" s="2">
        <v>45148.0</v>
      </c>
      <c r="D449" s="1">
        <v>3.0660069E7</v>
      </c>
      <c r="E449" s="1" t="s">
        <v>25</v>
      </c>
      <c r="F449" s="1" t="s">
        <v>38</v>
      </c>
      <c r="G449" s="1">
        <v>142.0</v>
      </c>
      <c r="H449" s="1">
        <v>1.0</v>
      </c>
      <c r="I449" s="1" t="s">
        <v>16</v>
      </c>
      <c r="J449" s="1" t="s">
        <v>39</v>
      </c>
      <c r="K449" s="1" t="s">
        <v>30</v>
      </c>
      <c r="L449" s="1">
        <v>0.0</v>
      </c>
    </row>
    <row r="450">
      <c r="A450" s="1" t="s">
        <v>928</v>
      </c>
      <c r="B450" s="1" t="s">
        <v>929</v>
      </c>
      <c r="C450" s="2">
        <v>45156.0</v>
      </c>
      <c r="D450" s="1">
        <v>2.163567E7</v>
      </c>
      <c r="E450" s="1" t="s">
        <v>14</v>
      </c>
      <c r="F450" s="1" t="s">
        <v>26</v>
      </c>
      <c r="G450" s="1">
        <v>59.0</v>
      </c>
      <c r="H450" s="1">
        <v>1.0</v>
      </c>
      <c r="I450" s="1" t="s">
        <v>34</v>
      </c>
      <c r="J450" s="1" t="s">
        <v>17</v>
      </c>
      <c r="K450" s="1" t="s">
        <v>30</v>
      </c>
      <c r="L450" s="1">
        <v>0.0</v>
      </c>
    </row>
    <row r="451">
      <c r="A451" s="1" t="s">
        <v>930</v>
      </c>
      <c r="B451" s="1" t="s">
        <v>931</v>
      </c>
      <c r="C451" s="2">
        <v>45027.0</v>
      </c>
      <c r="D451" s="1">
        <v>4.8987363E7</v>
      </c>
      <c r="E451" s="1" t="s">
        <v>47</v>
      </c>
      <c r="F451" s="1" t="s">
        <v>42</v>
      </c>
      <c r="G451" s="1">
        <v>141.0</v>
      </c>
      <c r="H451" s="1">
        <v>1.0</v>
      </c>
      <c r="I451" s="1" t="s">
        <v>27</v>
      </c>
      <c r="J451" s="1" t="s">
        <v>43</v>
      </c>
      <c r="K451" s="1" t="s">
        <v>18</v>
      </c>
      <c r="L451" s="1">
        <v>0.0</v>
      </c>
    </row>
    <row r="452">
      <c r="A452" s="1" t="s">
        <v>932</v>
      </c>
      <c r="B452" s="1" t="s">
        <v>933</v>
      </c>
      <c r="C452" s="2">
        <v>45289.0</v>
      </c>
      <c r="D452" s="1">
        <v>4.3040308E7</v>
      </c>
      <c r="E452" s="1" t="s">
        <v>25</v>
      </c>
      <c r="F452" s="1" t="s">
        <v>42</v>
      </c>
      <c r="G452" s="1">
        <v>30.0</v>
      </c>
      <c r="H452" s="1">
        <v>1.0</v>
      </c>
      <c r="I452" s="1" t="s">
        <v>16</v>
      </c>
      <c r="J452" s="1" t="s">
        <v>22</v>
      </c>
      <c r="K452" s="1" t="s">
        <v>30</v>
      </c>
      <c r="L452" s="1">
        <v>0.0</v>
      </c>
    </row>
    <row r="453">
      <c r="A453" s="1" t="s">
        <v>934</v>
      </c>
      <c r="B453" s="1" t="s">
        <v>935</v>
      </c>
      <c r="C453" s="2">
        <v>45084.0</v>
      </c>
      <c r="D453" s="1">
        <v>8.0500193E7</v>
      </c>
      <c r="E453" s="1" t="s">
        <v>47</v>
      </c>
      <c r="F453" s="1" t="s">
        <v>15</v>
      </c>
      <c r="G453" s="1">
        <v>166.0</v>
      </c>
      <c r="H453" s="1">
        <v>1.0</v>
      </c>
      <c r="I453" s="1" t="s">
        <v>16</v>
      </c>
      <c r="J453" s="1" t="s">
        <v>43</v>
      </c>
      <c r="K453" s="1" t="s">
        <v>18</v>
      </c>
      <c r="L453" s="1">
        <v>0.0</v>
      </c>
    </row>
    <row r="454">
      <c r="A454" s="1" t="s">
        <v>936</v>
      </c>
      <c r="B454" s="1" t="s">
        <v>937</v>
      </c>
      <c r="C454" s="2">
        <v>45082.0</v>
      </c>
      <c r="D454" s="1">
        <v>7.2423684E7</v>
      </c>
      <c r="E454" s="1" t="s">
        <v>14</v>
      </c>
      <c r="F454" s="1" t="s">
        <v>15</v>
      </c>
      <c r="G454" s="1">
        <v>22.0</v>
      </c>
      <c r="H454" s="1">
        <v>1.0</v>
      </c>
      <c r="I454" s="1" t="s">
        <v>27</v>
      </c>
      <c r="J454" s="1" t="s">
        <v>43</v>
      </c>
      <c r="K454" s="1" t="s">
        <v>18</v>
      </c>
      <c r="L454" s="1">
        <v>0.0</v>
      </c>
    </row>
    <row r="455">
      <c r="A455" s="1" t="s">
        <v>938</v>
      </c>
      <c r="B455" s="1" t="s">
        <v>939</v>
      </c>
      <c r="C455" s="2">
        <v>45072.0</v>
      </c>
      <c r="D455" s="1">
        <v>8.1449491E7</v>
      </c>
      <c r="E455" s="1" t="s">
        <v>25</v>
      </c>
      <c r="F455" s="1" t="s">
        <v>33</v>
      </c>
      <c r="G455" s="1">
        <v>21.0</v>
      </c>
      <c r="H455" s="1">
        <v>1.0</v>
      </c>
      <c r="I455" s="1" t="s">
        <v>21</v>
      </c>
      <c r="J455" s="1" t="s">
        <v>35</v>
      </c>
      <c r="K455" s="1" t="s">
        <v>30</v>
      </c>
      <c r="L455" s="1">
        <v>0.0</v>
      </c>
    </row>
    <row r="456">
      <c r="A456" s="1" t="s">
        <v>940</v>
      </c>
      <c r="B456" s="1" t="s">
        <v>941</v>
      </c>
      <c r="C456" s="2">
        <v>45232.0</v>
      </c>
      <c r="D456" s="1">
        <v>3.0998162E7</v>
      </c>
      <c r="E456" s="1" t="s">
        <v>25</v>
      </c>
      <c r="F456" s="1" t="s">
        <v>26</v>
      </c>
      <c r="G456" s="1">
        <v>54.0</v>
      </c>
      <c r="H456" s="1">
        <v>1.0</v>
      </c>
      <c r="I456" s="1" t="s">
        <v>34</v>
      </c>
      <c r="J456" s="1" t="s">
        <v>43</v>
      </c>
      <c r="K456" s="1" t="s">
        <v>44</v>
      </c>
      <c r="L456" s="1">
        <v>0.0</v>
      </c>
    </row>
    <row r="457">
      <c r="A457" s="1" t="s">
        <v>942</v>
      </c>
      <c r="B457" s="1" t="s">
        <v>943</v>
      </c>
      <c r="C457" s="2">
        <v>45255.0</v>
      </c>
      <c r="D457" s="1">
        <v>6.8729004E7</v>
      </c>
      <c r="E457" s="1" t="s">
        <v>25</v>
      </c>
      <c r="F457" s="1" t="s">
        <v>15</v>
      </c>
      <c r="G457" s="1">
        <v>67.0</v>
      </c>
      <c r="H457" s="1">
        <v>1.0</v>
      </c>
      <c r="I457" s="1" t="s">
        <v>34</v>
      </c>
      <c r="J457" s="1" t="s">
        <v>17</v>
      </c>
      <c r="K457" s="1" t="s">
        <v>18</v>
      </c>
      <c r="L457" s="1">
        <v>0.0</v>
      </c>
    </row>
    <row r="458">
      <c r="A458" s="1" t="s">
        <v>944</v>
      </c>
      <c r="B458" s="1" t="s">
        <v>945</v>
      </c>
      <c r="C458" s="2">
        <v>45271.0</v>
      </c>
      <c r="D458" s="1">
        <v>6269746.0</v>
      </c>
      <c r="E458" s="1" t="s">
        <v>14</v>
      </c>
      <c r="F458" s="1" t="s">
        <v>15</v>
      </c>
      <c r="G458" s="1">
        <v>76.0</v>
      </c>
      <c r="H458" s="1">
        <v>1.0</v>
      </c>
      <c r="I458" s="1" t="s">
        <v>16</v>
      </c>
      <c r="J458" s="1" t="s">
        <v>35</v>
      </c>
      <c r="K458" s="1" t="s">
        <v>18</v>
      </c>
      <c r="L458" s="1">
        <v>1.0</v>
      </c>
    </row>
    <row r="459">
      <c r="A459" s="1" t="s">
        <v>946</v>
      </c>
      <c r="B459" s="1" t="s">
        <v>947</v>
      </c>
      <c r="C459" s="2">
        <v>44930.0</v>
      </c>
      <c r="D459" s="1">
        <v>8.0620822E7</v>
      </c>
      <c r="E459" s="1" t="s">
        <v>25</v>
      </c>
      <c r="F459" s="1" t="s">
        <v>15</v>
      </c>
      <c r="G459" s="1">
        <v>99.0</v>
      </c>
      <c r="H459" s="1">
        <v>0.0</v>
      </c>
      <c r="I459" s="1" t="s">
        <v>27</v>
      </c>
      <c r="J459" s="1" t="s">
        <v>39</v>
      </c>
      <c r="K459" s="1" t="s">
        <v>18</v>
      </c>
      <c r="L459" s="1">
        <v>0.0</v>
      </c>
    </row>
    <row r="460">
      <c r="A460" s="1" t="s">
        <v>948</v>
      </c>
      <c r="B460" s="1" t="s">
        <v>949</v>
      </c>
      <c r="C460" s="2">
        <v>45039.0</v>
      </c>
      <c r="D460" s="1">
        <v>7.484517E7</v>
      </c>
      <c r="E460" s="1" t="s">
        <v>47</v>
      </c>
      <c r="F460" s="1" t="s">
        <v>26</v>
      </c>
      <c r="G460" s="1">
        <v>91.0</v>
      </c>
      <c r="H460" s="1">
        <v>0.0</v>
      </c>
      <c r="I460" s="1" t="s">
        <v>27</v>
      </c>
      <c r="J460" s="1" t="s">
        <v>43</v>
      </c>
      <c r="K460" s="1" t="s">
        <v>44</v>
      </c>
      <c r="L460" s="1">
        <v>1.0</v>
      </c>
    </row>
    <row r="461">
      <c r="A461" s="1" t="s">
        <v>950</v>
      </c>
      <c r="B461" s="1" t="s">
        <v>951</v>
      </c>
      <c r="C461" s="2">
        <v>44938.0</v>
      </c>
      <c r="D461" s="1">
        <v>8.7744545E7</v>
      </c>
      <c r="E461" s="1" t="s">
        <v>47</v>
      </c>
      <c r="F461" s="1" t="s">
        <v>15</v>
      </c>
      <c r="G461" s="1">
        <v>170.0</v>
      </c>
      <c r="H461" s="1">
        <v>1.0</v>
      </c>
      <c r="I461" s="1" t="s">
        <v>27</v>
      </c>
      <c r="J461" s="1" t="s">
        <v>39</v>
      </c>
      <c r="K461" s="1" t="s">
        <v>44</v>
      </c>
      <c r="L461" s="1">
        <v>0.0</v>
      </c>
    </row>
    <row r="462">
      <c r="A462" s="1" t="s">
        <v>952</v>
      </c>
      <c r="B462" s="1" t="s">
        <v>953</v>
      </c>
      <c r="C462" s="2">
        <v>45240.0</v>
      </c>
      <c r="D462" s="1">
        <v>5574841.0</v>
      </c>
      <c r="E462" s="1" t="s">
        <v>14</v>
      </c>
      <c r="F462" s="1" t="s">
        <v>33</v>
      </c>
      <c r="G462" s="1">
        <v>14.0</v>
      </c>
      <c r="H462" s="1">
        <v>0.0</v>
      </c>
      <c r="I462" s="1" t="s">
        <v>21</v>
      </c>
      <c r="J462" s="1" t="s">
        <v>22</v>
      </c>
      <c r="K462" s="1" t="s">
        <v>30</v>
      </c>
      <c r="L462" s="1">
        <v>0.0</v>
      </c>
    </row>
    <row r="463">
      <c r="A463" s="1" t="s">
        <v>954</v>
      </c>
      <c r="B463" s="1" t="s">
        <v>955</v>
      </c>
      <c r="C463" s="2">
        <v>45070.0</v>
      </c>
      <c r="D463" s="1">
        <v>3.721489E7</v>
      </c>
      <c r="E463" s="1" t="s">
        <v>47</v>
      </c>
      <c r="F463" s="1" t="s">
        <v>42</v>
      </c>
      <c r="G463" s="1">
        <v>179.0</v>
      </c>
      <c r="H463" s="1">
        <v>1.0</v>
      </c>
      <c r="I463" s="1" t="s">
        <v>27</v>
      </c>
      <c r="J463" s="1" t="s">
        <v>22</v>
      </c>
      <c r="K463" s="1" t="s">
        <v>18</v>
      </c>
      <c r="L463" s="1">
        <v>0.0</v>
      </c>
    </row>
    <row r="464">
      <c r="A464" s="1" t="s">
        <v>956</v>
      </c>
      <c r="B464" s="1" t="s">
        <v>957</v>
      </c>
      <c r="C464" s="2">
        <v>45058.0</v>
      </c>
      <c r="D464" s="1">
        <v>1.2703647E7</v>
      </c>
      <c r="E464" s="1" t="s">
        <v>25</v>
      </c>
      <c r="F464" s="1" t="s">
        <v>26</v>
      </c>
      <c r="G464" s="1">
        <v>145.0</v>
      </c>
      <c r="H464" s="1">
        <v>1.0</v>
      </c>
      <c r="I464" s="1" t="s">
        <v>21</v>
      </c>
      <c r="J464" s="1" t="s">
        <v>35</v>
      </c>
      <c r="K464" s="1" t="s">
        <v>30</v>
      </c>
      <c r="L464" s="1">
        <v>0.0</v>
      </c>
    </row>
    <row r="465">
      <c r="A465" s="1" t="s">
        <v>958</v>
      </c>
      <c r="B465" s="1" t="s">
        <v>959</v>
      </c>
      <c r="C465" s="2">
        <v>45084.0</v>
      </c>
      <c r="D465" s="1">
        <v>4.9561159E7</v>
      </c>
      <c r="E465" s="1" t="s">
        <v>14</v>
      </c>
      <c r="F465" s="1" t="s">
        <v>42</v>
      </c>
      <c r="G465" s="1">
        <v>93.0</v>
      </c>
      <c r="H465" s="1">
        <v>0.0</v>
      </c>
      <c r="I465" s="1" t="s">
        <v>16</v>
      </c>
      <c r="J465" s="1" t="s">
        <v>22</v>
      </c>
      <c r="K465" s="1" t="s">
        <v>30</v>
      </c>
      <c r="L465" s="1">
        <v>0.0</v>
      </c>
    </row>
    <row r="466">
      <c r="A466" s="1" t="s">
        <v>960</v>
      </c>
      <c r="B466" s="1" t="s">
        <v>961</v>
      </c>
      <c r="C466" s="2">
        <v>44994.0</v>
      </c>
      <c r="D466" s="1">
        <v>7.7474834E7</v>
      </c>
      <c r="E466" s="1" t="s">
        <v>14</v>
      </c>
      <c r="F466" s="1" t="s">
        <v>38</v>
      </c>
      <c r="G466" s="1">
        <v>130.0</v>
      </c>
      <c r="H466" s="1">
        <v>1.0</v>
      </c>
      <c r="I466" s="1" t="s">
        <v>34</v>
      </c>
      <c r="J466" s="1" t="s">
        <v>35</v>
      </c>
      <c r="K466" s="1" t="s">
        <v>18</v>
      </c>
      <c r="L466" s="1">
        <v>0.0</v>
      </c>
    </row>
    <row r="467">
      <c r="A467" s="1" t="s">
        <v>962</v>
      </c>
      <c r="B467" s="1" t="s">
        <v>963</v>
      </c>
      <c r="C467" s="2">
        <v>44983.0</v>
      </c>
      <c r="D467" s="1">
        <v>8.8235035E7</v>
      </c>
      <c r="E467" s="1" t="s">
        <v>25</v>
      </c>
      <c r="F467" s="1" t="s">
        <v>26</v>
      </c>
      <c r="G467" s="1">
        <v>122.0</v>
      </c>
      <c r="H467" s="1">
        <v>1.0</v>
      </c>
      <c r="I467" s="1" t="s">
        <v>21</v>
      </c>
      <c r="J467" s="1" t="s">
        <v>39</v>
      </c>
      <c r="K467" s="1" t="s">
        <v>30</v>
      </c>
      <c r="L467" s="1">
        <v>0.0</v>
      </c>
    </row>
    <row r="468">
      <c r="A468" s="1" t="s">
        <v>964</v>
      </c>
      <c r="B468" s="1" t="s">
        <v>965</v>
      </c>
      <c r="C468" s="2">
        <v>45130.0</v>
      </c>
      <c r="D468" s="1">
        <v>1807479.0</v>
      </c>
      <c r="E468" s="1" t="s">
        <v>47</v>
      </c>
      <c r="F468" s="1" t="s">
        <v>33</v>
      </c>
      <c r="G468" s="1">
        <v>155.0</v>
      </c>
      <c r="H468" s="1">
        <v>1.0</v>
      </c>
      <c r="I468" s="1" t="s">
        <v>34</v>
      </c>
      <c r="J468" s="1" t="s">
        <v>22</v>
      </c>
      <c r="K468" s="1" t="s">
        <v>18</v>
      </c>
      <c r="L468" s="1">
        <v>0.0</v>
      </c>
    </row>
    <row r="469">
      <c r="A469" s="1" t="s">
        <v>966</v>
      </c>
      <c r="B469" s="1" t="s">
        <v>967</v>
      </c>
      <c r="C469" s="2">
        <v>45006.0</v>
      </c>
      <c r="D469" s="1">
        <v>7.9623346E7</v>
      </c>
      <c r="E469" s="1" t="s">
        <v>14</v>
      </c>
      <c r="F469" s="1" t="s">
        <v>15</v>
      </c>
      <c r="G469" s="1">
        <v>83.0</v>
      </c>
      <c r="H469" s="1">
        <v>0.0</v>
      </c>
      <c r="I469" s="1" t="s">
        <v>34</v>
      </c>
      <c r="J469" s="1" t="s">
        <v>17</v>
      </c>
      <c r="K469" s="1" t="s">
        <v>44</v>
      </c>
      <c r="L469" s="1">
        <v>0.0</v>
      </c>
    </row>
    <row r="470">
      <c r="A470" s="1" t="s">
        <v>968</v>
      </c>
      <c r="B470" s="1" t="s">
        <v>969</v>
      </c>
      <c r="C470" s="2">
        <v>45228.0</v>
      </c>
      <c r="D470" s="1">
        <v>4.172446E7</v>
      </c>
      <c r="E470" s="1" t="s">
        <v>47</v>
      </c>
      <c r="F470" s="1" t="s">
        <v>33</v>
      </c>
      <c r="G470" s="1">
        <v>50.0</v>
      </c>
      <c r="H470" s="1">
        <v>0.0</v>
      </c>
      <c r="I470" s="1" t="s">
        <v>27</v>
      </c>
      <c r="J470" s="1" t="s">
        <v>39</v>
      </c>
      <c r="K470" s="1" t="s">
        <v>18</v>
      </c>
      <c r="L470" s="1">
        <v>0.0</v>
      </c>
    </row>
    <row r="471">
      <c r="A471" s="1" t="s">
        <v>970</v>
      </c>
      <c r="B471" s="1" t="s">
        <v>971</v>
      </c>
      <c r="C471" s="2">
        <v>45017.0</v>
      </c>
      <c r="D471" s="1">
        <v>1.2671724E7</v>
      </c>
      <c r="E471" s="1" t="s">
        <v>25</v>
      </c>
      <c r="F471" s="1" t="s">
        <v>15</v>
      </c>
      <c r="G471" s="1">
        <v>38.0</v>
      </c>
      <c r="H471" s="1">
        <v>0.0</v>
      </c>
      <c r="I471" s="1" t="s">
        <v>27</v>
      </c>
      <c r="J471" s="1" t="s">
        <v>43</v>
      </c>
      <c r="K471" s="1" t="s">
        <v>18</v>
      </c>
      <c r="L471" s="1">
        <v>1.0</v>
      </c>
    </row>
    <row r="472">
      <c r="A472" s="1" t="s">
        <v>972</v>
      </c>
      <c r="B472" s="1" t="s">
        <v>973</v>
      </c>
      <c r="C472" s="2">
        <v>45006.0</v>
      </c>
      <c r="D472" s="1">
        <v>8.7190953E7</v>
      </c>
      <c r="E472" s="1" t="s">
        <v>25</v>
      </c>
      <c r="F472" s="1" t="s">
        <v>38</v>
      </c>
      <c r="G472" s="1">
        <v>9.0</v>
      </c>
      <c r="H472" s="1">
        <v>1.0</v>
      </c>
      <c r="I472" s="1" t="s">
        <v>34</v>
      </c>
      <c r="J472" s="1" t="s">
        <v>43</v>
      </c>
      <c r="K472" s="1" t="s">
        <v>18</v>
      </c>
      <c r="L472" s="1">
        <v>0.0</v>
      </c>
    </row>
    <row r="473">
      <c r="A473" s="1" t="s">
        <v>974</v>
      </c>
      <c r="B473" s="1" t="s">
        <v>975</v>
      </c>
      <c r="C473" s="2">
        <v>45152.0</v>
      </c>
      <c r="D473" s="1">
        <v>5.7858845E7</v>
      </c>
      <c r="E473" s="1" t="s">
        <v>25</v>
      </c>
      <c r="F473" s="1" t="s">
        <v>26</v>
      </c>
      <c r="G473" s="1">
        <v>74.0</v>
      </c>
      <c r="H473" s="1">
        <v>1.0</v>
      </c>
      <c r="I473" s="1" t="s">
        <v>21</v>
      </c>
      <c r="J473" s="1" t="s">
        <v>43</v>
      </c>
      <c r="K473" s="1" t="s">
        <v>30</v>
      </c>
      <c r="L473" s="1">
        <v>0.0</v>
      </c>
    </row>
    <row r="474">
      <c r="A474" s="1" t="s">
        <v>976</v>
      </c>
      <c r="B474" s="1" t="s">
        <v>977</v>
      </c>
      <c r="C474" s="2">
        <v>44938.0</v>
      </c>
      <c r="D474" s="1">
        <v>8.258739E7</v>
      </c>
      <c r="E474" s="1" t="s">
        <v>14</v>
      </c>
      <c r="F474" s="1" t="s">
        <v>33</v>
      </c>
      <c r="G474" s="1">
        <v>130.0</v>
      </c>
      <c r="H474" s="1">
        <v>1.0</v>
      </c>
      <c r="I474" s="1" t="s">
        <v>34</v>
      </c>
      <c r="J474" s="1" t="s">
        <v>17</v>
      </c>
      <c r="K474" s="1" t="s">
        <v>30</v>
      </c>
      <c r="L474" s="1">
        <v>0.0</v>
      </c>
    </row>
    <row r="475">
      <c r="A475" s="1" t="s">
        <v>978</v>
      </c>
      <c r="B475" s="1" t="s">
        <v>979</v>
      </c>
      <c r="C475" s="2">
        <v>45060.0</v>
      </c>
      <c r="D475" s="1">
        <v>8.4234773E7</v>
      </c>
      <c r="E475" s="1" t="s">
        <v>14</v>
      </c>
      <c r="F475" s="1" t="s">
        <v>26</v>
      </c>
      <c r="G475" s="1">
        <v>81.0</v>
      </c>
      <c r="H475" s="1">
        <v>0.0</v>
      </c>
      <c r="I475" s="1" t="s">
        <v>27</v>
      </c>
      <c r="J475" s="1" t="s">
        <v>17</v>
      </c>
      <c r="K475" s="1" t="s">
        <v>18</v>
      </c>
      <c r="L475" s="1">
        <v>0.0</v>
      </c>
    </row>
    <row r="476">
      <c r="A476" s="1" t="s">
        <v>980</v>
      </c>
      <c r="B476" s="1" t="s">
        <v>981</v>
      </c>
      <c r="C476" s="2">
        <v>45113.0</v>
      </c>
      <c r="D476" s="1">
        <v>7.8158306E7</v>
      </c>
      <c r="E476" s="1" t="s">
        <v>47</v>
      </c>
      <c r="F476" s="1" t="s">
        <v>42</v>
      </c>
      <c r="G476" s="1">
        <v>174.0</v>
      </c>
      <c r="H476" s="1">
        <v>1.0</v>
      </c>
      <c r="I476" s="1" t="s">
        <v>21</v>
      </c>
      <c r="J476" s="1" t="s">
        <v>35</v>
      </c>
      <c r="K476" s="1" t="s">
        <v>44</v>
      </c>
      <c r="L476" s="1">
        <v>0.0</v>
      </c>
    </row>
    <row r="477">
      <c r="A477" s="1" t="s">
        <v>982</v>
      </c>
      <c r="B477" s="1" t="s">
        <v>983</v>
      </c>
      <c r="C477" s="2">
        <v>44995.0</v>
      </c>
      <c r="D477" s="1">
        <v>3.8108495E7</v>
      </c>
      <c r="E477" s="1" t="s">
        <v>25</v>
      </c>
      <c r="F477" s="1" t="s">
        <v>38</v>
      </c>
      <c r="G477" s="1">
        <v>145.0</v>
      </c>
      <c r="H477" s="1">
        <v>0.0</v>
      </c>
      <c r="I477" s="1" t="s">
        <v>21</v>
      </c>
      <c r="J477" s="1" t="s">
        <v>43</v>
      </c>
      <c r="K477" s="1" t="s">
        <v>18</v>
      </c>
      <c r="L477" s="1">
        <v>0.0</v>
      </c>
    </row>
    <row r="478">
      <c r="A478" s="1" t="s">
        <v>984</v>
      </c>
      <c r="B478" s="1" t="s">
        <v>985</v>
      </c>
      <c r="C478" s="2">
        <v>45242.0</v>
      </c>
      <c r="D478" s="1">
        <v>8.7190922E7</v>
      </c>
      <c r="E478" s="1" t="s">
        <v>47</v>
      </c>
      <c r="F478" s="1" t="s">
        <v>15</v>
      </c>
      <c r="G478" s="1">
        <v>5.0</v>
      </c>
      <c r="H478" s="1">
        <v>1.0</v>
      </c>
      <c r="I478" s="1" t="s">
        <v>27</v>
      </c>
      <c r="J478" s="1" t="s">
        <v>17</v>
      </c>
      <c r="K478" s="1" t="s">
        <v>18</v>
      </c>
      <c r="L478" s="1">
        <v>0.0</v>
      </c>
    </row>
    <row r="479">
      <c r="A479" s="1" t="s">
        <v>986</v>
      </c>
      <c r="B479" s="1" t="s">
        <v>987</v>
      </c>
      <c r="C479" s="2">
        <v>44959.0</v>
      </c>
      <c r="D479" s="1">
        <v>7.9265911E7</v>
      </c>
      <c r="E479" s="1" t="s">
        <v>14</v>
      </c>
      <c r="F479" s="1" t="s">
        <v>33</v>
      </c>
      <c r="G479" s="1">
        <v>155.0</v>
      </c>
      <c r="H479" s="1">
        <v>0.0</v>
      </c>
      <c r="I479" s="1" t="s">
        <v>16</v>
      </c>
      <c r="J479" s="1" t="s">
        <v>35</v>
      </c>
      <c r="K479" s="1" t="s">
        <v>18</v>
      </c>
      <c r="L479" s="1">
        <v>0.0</v>
      </c>
    </row>
    <row r="480">
      <c r="A480" s="1" t="s">
        <v>988</v>
      </c>
      <c r="B480" s="1" t="s">
        <v>989</v>
      </c>
      <c r="C480" s="2">
        <v>45220.0</v>
      </c>
      <c r="D480" s="1">
        <v>5.4504769E7</v>
      </c>
      <c r="E480" s="1" t="s">
        <v>25</v>
      </c>
      <c r="F480" s="1" t="s">
        <v>42</v>
      </c>
      <c r="G480" s="1">
        <v>102.0</v>
      </c>
      <c r="H480" s="1">
        <v>1.0</v>
      </c>
      <c r="I480" s="1" t="s">
        <v>34</v>
      </c>
      <c r="J480" s="1" t="s">
        <v>43</v>
      </c>
      <c r="K480" s="1" t="s">
        <v>44</v>
      </c>
      <c r="L480" s="1">
        <v>0.0</v>
      </c>
    </row>
    <row r="481">
      <c r="A481" s="1" t="s">
        <v>990</v>
      </c>
      <c r="B481" s="1" t="s">
        <v>991</v>
      </c>
      <c r="C481" s="2">
        <v>45098.0</v>
      </c>
      <c r="D481" s="1">
        <v>4.6914958E7</v>
      </c>
      <c r="E481" s="1" t="s">
        <v>47</v>
      </c>
      <c r="F481" s="1" t="s">
        <v>33</v>
      </c>
      <c r="G481" s="1">
        <v>120.0</v>
      </c>
      <c r="H481" s="1">
        <v>1.0</v>
      </c>
      <c r="I481" s="1" t="s">
        <v>16</v>
      </c>
      <c r="J481" s="1" t="s">
        <v>35</v>
      </c>
      <c r="K481" s="1" t="s">
        <v>44</v>
      </c>
      <c r="L481" s="1">
        <v>0.0</v>
      </c>
    </row>
    <row r="482">
      <c r="A482" s="1" t="s">
        <v>992</v>
      </c>
      <c r="B482" s="1" t="s">
        <v>993</v>
      </c>
      <c r="C482" s="2">
        <v>45052.0</v>
      </c>
      <c r="D482" s="1">
        <v>4138037.0</v>
      </c>
      <c r="E482" s="1" t="s">
        <v>47</v>
      </c>
      <c r="F482" s="1" t="s">
        <v>15</v>
      </c>
      <c r="G482" s="1">
        <v>70.0</v>
      </c>
      <c r="H482" s="1">
        <v>0.0</v>
      </c>
      <c r="I482" s="1" t="s">
        <v>16</v>
      </c>
      <c r="J482" s="1" t="s">
        <v>22</v>
      </c>
      <c r="K482" s="1" t="s">
        <v>44</v>
      </c>
      <c r="L482" s="1">
        <v>0.0</v>
      </c>
    </row>
    <row r="483">
      <c r="A483" s="1" t="s">
        <v>994</v>
      </c>
      <c r="B483" s="1" t="s">
        <v>995</v>
      </c>
      <c r="C483" s="2">
        <v>45243.0</v>
      </c>
      <c r="D483" s="1">
        <v>3.3546063E7</v>
      </c>
      <c r="E483" s="1" t="s">
        <v>47</v>
      </c>
      <c r="F483" s="1" t="s">
        <v>26</v>
      </c>
      <c r="G483" s="1">
        <v>143.0</v>
      </c>
      <c r="H483" s="1">
        <v>0.0</v>
      </c>
      <c r="I483" s="1" t="s">
        <v>21</v>
      </c>
      <c r="J483" s="1" t="s">
        <v>17</v>
      </c>
      <c r="K483" s="1" t="s">
        <v>30</v>
      </c>
      <c r="L483" s="1">
        <v>0.0</v>
      </c>
    </row>
    <row r="484">
      <c r="A484" s="1" t="s">
        <v>996</v>
      </c>
      <c r="B484" s="1" t="s">
        <v>997</v>
      </c>
      <c r="C484" s="2">
        <v>44972.0</v>
      </c>
      <c r="D484" s="1">
        <v>5869299.0</v>
      </c>
      <c r="E484" s="1" t="s">
        <v>14</v>
      </c>
      <c r="F484" s="1" t="s">
        <v>26</v>
      </c>
      <c r="G484" s="1">
        <v>127.0</v>
      </c>
      <c r="H484" s="1">
        <v>0.0</v>
      </c>
      <c r="I484" s="1" t="s">
        <v>21</v>
      </c>
      <c r="J484" s="1" t="s">
        <v>17</v>
      </c>
      <c r="K484" s="1" t="s">
        <v>18</v>
      </c>
      <c r="L484" s="1">
        <v>0.0</v>
      </c>
    </row>
    <row r="485">
      <c r="A485" s="1" t="s">
        <v>998</v>
      </c>
      <c r="B485" s="1" t="s">
        <v>999</v>
      </c>
      <c r="C485" s="2">
        <v>45212.0</v>
      </c>
      <c r="D485" s="1">
        <v>2550183.0</v>
      </c>
      <c r="E485" s="1" t="s">
        <v>25</v>
      </c>
      <c r="F485" s="1" t="s">
        <v>42</v>
      </c>
      <c r="G485" s="1">
        <v>21.0</v>
      </c>
      <c r="H485" s="1">
        <v>0.0</v>
      </c>
      <c r="I485" s="1" t="s">
        <v>34</v>
      </c>
      <c r="J485" s="1" t="s">
        <v>39</v>
      </c>
      <c r="K485" s="1" t="s">
        <v>44</v>
      </c>
      <c r="L485" s="1">
        <v>0.0</v>
      </c>
    </row>
    <row r="486">
      <c r="A486" s="1" t="s">
        <v>1000</v>
      </c>
      <c r="B486" s="1" t="s">
        <v>1001</v>
      </c>
      <c r="C486" s="2">
        <v>45177.0</v>
      </c>
      <c r="D486" s="1">
        <v>8.1813216E7</v>
      </c>
      <c r="E486" s="1" t="s">
        <v>25</v>
      </c>
      <c r="F486" s="1" t="s">
        <v>33</v>
      </c>
      <c r="G486" s="1">
        <v>160.0</v>
      </c>
      <c r="H486" s="1">
        <v>0.0</v>
      </c>
      <c r="I486" s="1" t="s">
        <v>34</v>
      </c>
      <c r="J486" s="1" t="s">
        <v>43</v>
      </c>
      <c r="K486" s="1" t="s">
        <v>30</v>
      </c>
      <c r="L486" s="1">
        <v>0.0</v>
      </c>
    </row>
    <row r="487">
      <c r="A487" s="1" t="s">
        <v>1002</v>
      </c>
      <c r="B487" s="1" t="s">
        <v>1003</v>
      </c>
      <c r="C487" s="2">
        <v>45082.0</v>
      </c>
      <c r="D487" s="1">
        <v>9.3286633E7</v>
      </c>
      <c r="E487" s="1" t="s">
        <v>25</v>
      </c>
      <c r="F487" s="1" t="s">
        <v>15</v>
      </c>
      <c r="G487" s="1">
        <v>43.0</v>
      </c>
      <c r="H487" s="1">
        <v>1.0</v>
      </c>
      <c r="I487" s="1" t="s">
        <v>16</v>
      </c>
      <c r="J487" s="1" t="s">
        <v>35</v>
      </c>
      <c r="K487" s="1" t="s">
        <v>30</v>
      </c>
      <c r="L487" s="1">
        <v>0.0</v>
      </c>
    </row>
    <row r="488">
      <c r="A488" s="1" t="s">
        <v>1004</v>
      </c>
      <c r="B488" s="1" t="s">
        <v>1005</v>
      </c>
      <c r="C488" s="2">
        <v>45158.0</v>
      </c>
      <c r="D488" s="1">
        <v>2.9544974E7</v>
      </c>
      <c r="E488" s="1" t="s">
        <v>14</v>
      </c>
      <c r="F488" s="1" t="s">
        <v>15</v>
      </c>
      <c r="G488" s="1">
        <v>112.0</v>
      </c>
      <c r="H488" s="1">
        <v>0.0</v>
      </c>
      <c r="I488" s="1" t="s">
        <v>34</v>
      </c>
      <c r="J488" s="1" t="s">
        <v>43</v>
      </c>
      <c r="K488" s="1" t="s">
        <v>18</v>
      </c>
      <c r="L488" s="1">
        <v>0.0</v>
      </c>
    </row>
    <row r="489">
      <c r="A489" s="1" t="s">
        <v>1006</v>
      </c>
      <c r="B489" s="1" t="s">
        <v>1007</v>
      </c>
      <c r="C489" s="2">
        <v>45210.0</v>
      </c>
      <c r="D489" s="1">
        <v>8.1155224E7</v>
      </c>
      <c r="E489" s="1" t="s">
        <v>14</v>
      </c>
      <c r="F489" s="1" t="s">
        <v>33</v>
      </c>
      <c r="G489" s="1">
        <v>89.0</v>
      </c>
      <c r="H489" s="1">
        <v>0.0</v>
      </c>
      <c r="I489" s="1" t="s">
        <v>34</v>
      </c>
      <c r="J489" s="1" t="s">
        <v>43</v>
      </c>
      <c r="K489" s="1" t="s">
        <v>44</v>
      </c>
      <c r="L489" s="1">
        <v>1.0</v>
      </c>
    </row>
    <row r="490">
      <c r="A490" s="1" t="s">
        <v>1008</v>
      </c>
      <c r="B490" s="1" t="s">
        <v>1009</v>
      </c>
      <c r="C490" s="2">
        <v>44956.0</v>
      </c>
      <c r="D490" s="1">
        <v>6.2357197E7</v>
      </c>
      <c r="E490" s="1" t="s">
        <v>25</v>
      </c>
      <c r="F490" s="1" t="s">
        <v>26</v>
      </c>
      <c r="G490" s="1">
        <v>174.0</v>
      </c>
      <c r="H490" s="1">
        <v>1.0</v>
      </c>
      <c r="I490" s="1" t="s">
        <v>16</v>
      </c>
      <c r="J490" s="1" t="s">
        <v>43</v>
      </c>
      <c r="K490" s="1" t="s">
        <v>18</v>
      </c>
      <c r="L490" s="1">
        <v>1.0</v>
      </c>
    </row>
    <row r="491">
      <c r="A491" s="1" t="s">
        <v>1010</v>
      </c>
      <c r="B491" s="1" t="s">
        <v>1011</v>
      </c>
      <c r="C491" s="2">
        <v>45053.0</v>
      </c>
      <c r="D491" s="1">
        <v>5.564246E7</v>
      </c>
      <c r="E491" s="1" t="s">
        <v>47</v>
      </c>
      <c r="F491" s="1" t="s">
        <v>42</v>
      </c>
      <c r="G491" s="1">
        <v>120.0</v>
      </c>
      <c r="H491" s="1">
        <v>0.0</v>
      </c>
      <c r="I491" s="1" t="s">
        <v>27</v>
      </c>
      <c r="J491" s="1" t="s">
        <v>35</v>
      </c>
      <c r="K491" s="1" t="s">
        <v>18</v>
      </c>
      <c r="L491" s="1">
        <v>0.0</v>
      </c>
    </row>
    <row r="492">
      <c r="A492" s="1" t="s">
        <v>1012</v>
      </c>
      <c r="B492" s="1" t="s">
        <v>1013</v>
      </c>
      <c r="C492" s="2">
        <v>44999.0</v>
      </c>
      <c r="D492" s="1">
        <v>1808711.0</v>
      </c>
      <c r="E492" s="1" t="s">
        <v>14</v>
      </c>
      <c r="F492" s="1" t="s">
        <v>33</v>
      </c>
      <c r="G492" s="1">
        <v>171.0</v>
      </c>
      <c r="H492" s="1">
        <v>1.0</v>
      </c>
      <c r="I492" s="1" t="s">
        <v>21</v>
      </c>
      <c r="J492" s="1" t="s">
        <v>22</v>
      </c>
      <c r="K492" s="1" t="s">
        <v>44</v>
      </c>
      <c r="L492" s="1">
        <v>0.0</v>
      </c>
    </row>
    <row r="493">
      <c r="A493" s="1" t="s">
        <v>1014</v>
      </c>
      <c r="B493" s="1" t="s">
        <v>1015</v>
      </c>
      <c r="C493" s="2">
        <v>45002.0</v>
      </c>
      <c r="D493" s="1">
        <v>7.097951E7</v>
      </c>
      <c r="E493" s="1" t="s">
        <v>25</v>
      </c>
      <c r="F493" s="1" t="s">
        <v>38</v>
      </c>
      <c r="G493" s="1">
        <v>167.0</v>
      </c>
      <c r="H493" s="1">
        <v>1.0</v>
      </c>
      <c r="I493" s="1" t="s">
        <v>16</v>
      </c>
      <c r="J493" s="1" t="s">
        <v>17</v>
      </c>
      <c r="K493" s="1" t="s">
        <v>44</v>
      </c>
      <c r="L493" s="1">
        <v>0.0</v>
      </c>
    </row>
    <row r="494">
      <c r="A494" s="1" t="s">
        <v>1016</v>
      </c>
      <c r="B494" s="1" t="s">
        <v>1017</v>
      </c>
      <c r="C494" s="2">
        <v>45024.0</v>
      </c>
      <c r="D494" s="1">
        <v>2.4628464E7</v>
      </c>
      <c r="E494" s="1" t="s">
        <v>25</v>
      </c>
      <c r="F494" s="1" t="s">
        <v>33</v>
      </c>
      <c r="G494" s="1">
        <v>118.0</v>
      </c>
      <c r="H494" s="1">
        <v>1.0</v>
      </c>
      <c r="I494" s="1" t="s">
        <v>21</v>
      </c>
      <c r="J494" s="1" t="s">
        <v>43</v>
      </c>
      <c r="K494" s="1" t="s">
        <v>44</v>
      </c>
      <c r="L494" s="1">
        <v>0.0</v>
      </c>
    </row>
    <row r="495">
      <c r="A495" s="1" t="s">
        <v>1018</v>
      </c>
      <c r="B495" s="1" t="s">
        <v>1019</v>
      </c>
      <c r="C495" s="2">
        <v>45133.0</v>
      </c>
      <c r="D495" s="1">
        <v>1.2252572E7</v>
      </c>
      <c r="E495" s="1" t="s">
        <v>14</v>
      </c>
      <c r="F495" s="1" t="s">
        <v>15</v>
      </c>
      <c r="G495" s="1">
        <v>108.0</v>
      </c>
      <c r="H495" s="1">
        <v>1.0</v>
      </c>
      <c r="I495" s="1" t="s">
        <v>27</v>
      </c>
      <c r="J495" s="1" t="s">
        <v>39</v>
      </c>
      <c r="K495" s="1" t="s">
        <v>44</v>
      </c>
      <c r="L495" s="1">
        <v>0.0</v>
      </c>
    </row>
    <row r="496">
      <c r="A496" s="1" t="s">
        <v>1020</v>
      </c>
      <c r="B496" s="1" t="s">
        <v>1021</v>
      </c>
      <c r="C496" s="2">
        <v>44965.0</v>
      </c>
      <c r="D496" s="1">
        <v>7.4811212E7</v>
      </c>
      <c r="E496" s="1" t="s">
        <v>25</v>
      </c>
      <c r="F496" s="1" t="s">
        <v>15</v>
      </c>
      <c r="G496" s="1">
        <v>45.0</v>
      </c>
      <c r="H496" s="1">
        <v>1.0</v>
      </c>
      <c r="I496" s="1" t="s">
        <v>34</v>
      </c>
      <c r="J496" s="1" t="s">
        <v>22</v>
      </c>
      <c r="K496" s="1" t="s">
        <v>18</v>
      </c>
      <c r="L496" s="1">
        <v>0.0</v>
      </c>
    </row>
    <row r="497">
      <c r="A497" s="1" t="s">
        <v>1022</v>
      </c>
      <c r="B497" s="1" t="s">
        <v>1023</v>
      </c>
      <c r="C497" s="2">
        <v>45194.0</v>
      </c>
      <c r="D497" s="1">
        <v>1.061118E7</v>
      </c>
      <c r="E497" s="1" t="s">
        <v>47</v>
      </c>
      <c r="F497" s="1" t="s">
        <v>15</v>
      </c>
      <c r="G497" s="1">
        <v>45.0</v>
      </c>
      <c r="H497" s="1">
        <v>1.0</v>
      </c>
      <c r="I497" s="1" t="s">
        <v>21</v>
      </c>
      <c r="J497" s="1" t="s">
        <v>39</v>
      </c>
      <c r="K497" s="1" t="s">
        <v>18</v>
      </c>
      <c r="L497" s="1">
        <v>0.0</v>
      </c>
    </row>
    <row r="498">
      <c r="A498" s="1" t="s">
        <v>1024</v>
      </c>
      <c r="B498" s="1" t="s">
        <v>1025</v>
      </c>
      <c r="C498" s="2">
        <v>45173.0</v>
      </c>
      <c r="D498" s="1">
        <v>4.3955558E7</v>
      </c>
      <c r="E498" s="1" t="s">
        <v>25</v>
      </c>
      <c r="F498" s="1" t="s">
        <v>42</v>
      </c>
      <c r="G498" s="1">
        <v>160.0</v>
      </c>
      <c r="H498" s="1">
        <v>1.0</v>
      </c>
      <c r="I498" s="1" t="s">
        <v>27</v>
      </c>
      <c r="J498" s="1" t="s">
        <v>17</v>
      </c>
      <c r="K498" s="1" t="s">
        <v>30</v>
      </c>
      <c r="L498" s="1">
        <v>1.0</v>
      </c>
    </row>
    <row r="499">
      <c r="A499" s="1" t="s">
        <v>1026</v>
      </c>
      <c r="B499" s="1" t="s">
        <v>1027</v>
      </c>
      <c r="C499" s="2">
        <v>45272.0</v>
      </c>
      <c r="D499" s="1">
        <v>3.3449852E7</v>
      </c>
      <c r="E499" s="1" t="s">
        <v>47</v>
      </c>
      <c r="F499" s="1" t="s">
        <v>15</v>
      </c>
      <c r="G499" s="1">
        <v>99.0</v>
      </c>
      <c r="H499" s="1">
        <v>1.0</v>
      </c>
      <c r="I499" s="1" t="s">
        <v>34</v>
      </c>
      <c r="J499" s="1" t="s">
        <v>17</v>
      </c>
      <c r="K499" s="1" t="s">
        <v>30</v>
      </c>
      <c r="L499" s="1">
        <v>0.0</v>
      </c>
    </row>
    <row r="500">
      <c r="A500" s="1" t="s">
        <v>1028</v>
      </c>
      <c r="B500" s="1" t="s">
        <v>1029</v>
      </c>
      <c r="C500" s="2">
        <v>44959.0</v>
      </c>
      <c r="D500" s="1">
        <v>9.0878251E7</v>
      </c>
      <c r="E500" s="1" t="s">
        <v>25</v>
      </c>
      <c r="F500" s="1" t="s">
        <v>15</v>
      </c>
      <c r="G500" s="1">
        <v>169.0</v>
      </c>
      <c r="H500" s="1">
        <v>1.0</v>
      </c>
      <c r="I500" s="1" t="s">
        <v>16</v>
      </c>
      <c r="J500" s="1" t="s">
        <v>43</v>
      </c>
      <c r="K500" s="1" t="s">
        <v>30</v>
      </c>
      <c r="L500" s="1">
        <v>0.0</v>
      </c>
    </row>
    <row r="501">
      <c r="A501" s="1" t="s">
        <v>1030</v>
      </c>
      <c r="B501" s="1" t="s">
        <v>1031</v>
      </c>
      <c r="C501" s="2">
        <v>45105.0</v>
      </c>
      <c r="D501" s="1">
        <v>5.8456101E7</v>
      </c>
      <c r="E501" s="1" t="s">
        <v>14</v>
      </c>
      <c r="F501" s="1" t="s">
        <v>42</v>
      </c>
      <c r="G501" s="1">
        <v>103.0</v>
      </c>
      <c r="H501" s="1">
        <v>1.0</v>
      </c>
      <c r="I501" s="1" t="s">
        <v>16</v>
      </c>
      <c r="J501" s="1" t="s">
        <v>17</v>
      </c>
      <c r="K501" s="1" t="s">
        <v>44</v>
      </c>
      <c r="L501" s="1">
        <v>0.0</v>
      </c>
    </row>
    <row r="502">
      <c r="A502" s="1" t="s">
        <v>1032</v>
      </c>
      <c r="B502" s="1" t="s">
        <v>1033</v>
      </c>
      <c r="C502" s="2">
        <v>44967.0</v>
      </c>
      <c r="D502" s="1">
        <v>5.8826713E7</v>
      </c>
      <c r="E502" s="1" t="s">
        <v>25</v>
      </c>
      <c r="F502" s="1" t="s">
        <v>33</v>
      </c>
      <c r="G502" s="1">
        <v>64.0</v>
      </c>
      <c r="H502" s="1">
        <v>1.0</v>
      </c>
      <c r="I502" s="1" t="s">
        <v>16</v>
      </c>
      <c r="J502" s="1" t="s">
        <v>22</v>
      </c>
      <c r="K502" s="1" t="s">
        <v>30</v>
      </c>
      <c r="L502" s="1">
        <v>1.0</v>
      </c>
    </row>
    <row r="503">
      <c r="A503" s="1" t="s">
        <v>1034</v>
      </c>
      <c r="B503" s="1" t="s">
        <v>1035</v>
      </c>
      <c r="C503" s="2">
        <v>45125.0</v>
      </c>
      <c r="D503" s="1">
        <v>1.4489488E7</v>
      </c>
      <c r="E503" s="1" t="s">
        <v>25</v>
      </c>
      <c r="F503" s="1" t="s">
        <v>26</v>
      </c>
      <c r="G503" s="1">
        <v>94.0</v>
      </c>
      <c r="H503" s="1">
        <v>1.0</v>
      </c>
      <c r="I503" s="1" t="s">
        <v>16</v>
      </c>
      <c r="J503" s="1" t="s">
        <v>39</v>
      </c>
      <c r="K503" s="1" t="s">
        <v>44</v>
      </c>
      <c r="L503" s="1">
        <v>0.0</v>
      </c>
    </row>
    <row r="504">
      <c r="A504" s="1" t="s">
        <v>1036</v>
      </c>
      <c r="B504" s="1" t="s">
        <v>1037</v>
      </c>
      <c r="C504" s="2">
        <v>45213.0</v>
      </c>
      <c r="D504" s="1">
        <v>8.5033238E7</v>
      </c>
      <c r="E504" s="1" t="s">
        <v>47</v>
      </c>
      <c r="F504" s="1" t="s">
        <v>15</v>
      </c>
      <c r="G504" s="1">
        <v>160.0</v>
      </c>
      <c r="H504" s="1">
        <v>1.0</v>
      </c>
      <c r="I504" s="1" t="s">
        <v>21</v>
      </c>
      <c r="J504" s="1" t="s">
        <v>35</v>
      </c>
      <c r="K504" s="1" t="s">
        <v>30</v>
      </c>
      <c r="L504" s="1">
        <v>0.0</v>
      </c>
    </row>
    <row r="505">
      <c r="A505" s="1" t="s">
        <v>1038</v>
      </c>
      <c r="B505" s="1" t="s">
        <v>1039</v>
      </c>
      <c r="C505" s="2">
        <v>45077.0</v>
      </c>
      <c r="D505" s="1">
        <v>5147588.0</v>
      </c>
      <c r="E505" s="1" t="s">
        <v>25</v>
      </c>
      <c r="F505" s="1" t="s">
        <v>38</v>
      </c>
      <c r="G505" s="1">
        <v>132.0</v>
      </c>
      <c r="H505" s="1">
        <v>0.0</v>
      </c>
      <c r="I505" s="1" t="s">
        <v>27</v>
      </c>
      <c r="J505" s="1" t="s">
        <v>22</v>
      </c>
      <c r="K505" s="1" t="s">
        <v>18</v>
      </c>
      <c r="L505" s="1">
        <v>0.0</v>
      </c>
    </row>
    <row r="506">
      <c r="A506" s="1" t="s">
        <v>1040</v>
      </c>
      <c r="B506" s="1" t="s">
        <v>1041</v>
      </c>
      <c r="C506" s="2">
        <v>45050.0</v>
      </c>
      <c r="D506" s="1">
        <v>3.2522938E7</v>
      </c>
      <c r="E506" s="1" t="s">
        <v>14</v>
      </c>
      <c r="F506" s="1" t="s">
        <v>15</v>
      </c>
      <c r="G506" s="1">
        <v>36.0</v>
      </c>
      <c r="H506" s="1">
        <v>1.0</v>
      </c>
      <c r="I506" s="1" t="s">
        <v>27</v>
      </c>
      <c r="J506" s="1" t="s">
        <v>17</v>
      </c>
      <c r="K506" s="1" t="s">
        <v>18</v>
      </c>
      <c r="L506" s="1">
        <v>0.0</v>
      </c>
    </row>
    <row r="507">
      <c r="A507" s="1" t="s">
        <v>1042</v>
      </c>
      <c r="B507" s="1" t="s">
        <v>1043</v>
      </c>
      <c r="C507" s="2">
        <v>45002.0</v>
      </c>
      <c r="D507" s="1">
        <v>3.1326209E7</v>
      </c>
      <c r="E507" s="1" t="s">
        <v>14</v>
      </c>
      <c r="F507" s="1" t="s">
        <v>33</v>
      </c>
      <c r="G507" s="1">
        <v>53.0</v>
      </c>
      <c r="H507" s="1">
        <v>0.0</v>
      </c>
      <c r="I507" s="1" t="s">
        <v>16</v>
      </c>
      <c r="J507" s="1" t="s">
        <v>39</v>
      </c>
      <c r="K507" s="1" t="s">
        <v>18</v>
      </c>
      <c r="L507" s="1">
        <v>0.0</v>
      </c>
    </row>
    <row r="508">
      <c r="A508" s="1" t="s">
        <v>1044</v>
      </c>
      <c r="B508" s="1" t="s">
        <v>1045</v>
      </c>
      <c r="C508" s="2">
        <v>45218.0</v>
      </c>
      <c r="D508" s="1">
        <v>7.8392861E7</v>
      </c>
      <c r="E508" s="1" t="s">
        <v>14</v>
      </c>
      <c r="F508" s="1" t="s">
        <v>33</v>
      </c>
      <c r="G508" s="1">
        <v>131.0</v>
      </c>
      <c r="H508" s="1">
        <v>0.0</v>
      </c>
      <c r="I508" s="1" t="s">
        <v>16</v>
      </c>
      <c r="J508" s="1" t="s">
        <v>17</v>
      </c>
      <c r="K508" s="1" t="s">
        <v>44</v>
      </c>
      <c r="L508" s="1">
        <v>0.0</v>
      </c>
    </row>
    <row r="509">
      <c r="A509" s="1" t="s">
        <v>1046</v>
      </c>
      <c r="B509" s="1" t="s">
        <v>1047</v>
      </c>
      <c r="C509" s="2">
        <v>44990.0</v>
      </c>
      <c r="D509" s="1">
        <v>2.3878389E7</v>
      </c>
      <c r="E509" s="1" t="s">
        <v>47</v>
      </c>
      <c r="F509" s="1" t="s">
        <v>33</v>
      </c>
      <c r="G509" s="1">
        <v>136.0</v>
      </c>
      <c r="H509" s="1">
        <v>1.0</v>
      </c>
      <c r="I509" s="1" t="s">
        <v>34</v>
      </c>
      <c r="J509" s="1" t="s">
        <v>35</v>
      </c>
      <c r="K509" s="1" t="s">
        <v>44</v>
      </c>
      <c r="L509" s="1">
        <v>0.0</v>
      </c>
    </row>
    <row r="510">
      <c r="A510" s="1" t="s">
        <v>1048</v>
      </c>
      <c r="B510" s="1" t="s">
        <v>1049</v>
      </c>
      <c r="C510" s="2">
        <v>45187.0</v>
      </c>
      <c r="D510" s="1">
        <v>7.532283E7</v>
      </c>
      <c r="E510" s="1" t="s">
        <v>47</v>
      </c>
      <c r="F510" s="1" t="s">
        <v>33</v>
      </c>
      <c r="G510" s="1">
        <v>69.0</v>
      </c>
      <c r="H510" s="1">
        <v>1.0</v>
      </c>
      <c r="I510" s="1" t="s">
        <v>21</v>
      </c>
      <c r="J510" s="1" t="s">
        <v>17</v>
      </c>
      <c r="K510" s="1" t="s">
        <v>18</v>
      </c>
      <c r="L510" s="1">
        <v>0.0</v>
      </c>
    </row>
    <row r="511">
      <c r="A511" s="1" t="s">
        <v>1050</v>
      </c>
      <c r="B511" s="1" t="s">
        <v>1051</v>
      </c>
      <c r="C511" s="2">
        <v>45104.0</v>
      </c>
      <c r="D511" s="1">
        <v>1.4575419E7</v>
      </c>
      <c r="E511" s="1" t="s">
        <v>47</v>
      </c>
      <c r="F511" s="1" t="s">
        <v>15</v>
      </c>
      <c r="G511" s="1">
        <v>42.0</v>
      </c>
      <c r="H511" s="1">
        <v>0.0</v>
      </c>
      <c r="I511" s="1" t="s">
        <v>34</v>
      </c>
      <c r="J511" s="1" t="s">
        <v>35</v>
      </c>
      <c r="K511" s="1" t="s">
        <v>18</v>
      </c>
      <c r="L511" s="1">
        <v>0.0</v>
      </c>
    </row>
    <row r="512">
      <c r="A512" s="1" t="s">
        <v>1052</v>
      </c>
      <c r="B512" s="1" t="s">
        <v>1053</v>
      </c>
      <c r="C512" s="2">
        <v>45084.0</v>
      </c>
      <c r="D512" s="1">
        <v>1311495.0</v>
      </c>
      <c r="E512" s="1" t="s">
        <v>25</v>
      </c>
      <c r="F512" s="1" t="s">
        <v>33</v>
      </c>
      <c r="G512" s="1">
        <v>172.0</v>
      </c>
      <c r="H512" s="1">
        <v>1.0</v>
      </c>
      <c r="I512" s="1" t="s">
        <v>16</v>
      </c>
      <c r="J512" s="1" t="s">
        <v>43</v>
      </c>
      <c r="K512" s="1" t="s">
        <v>18</v>
      </c>
      <c r="L512" s="1">
        <v>0.0</v>
      </c>
    </row>
    <row r="513">
      <c r="A513" s="1" t="s">
        <v>1054</v>
      </c>
      <c r="B513" s="1" t="s">
        <v>1055</v>
      </c>
      <c r="C513" s="2">
        <v>45118.0</v>
      </c>
      <c r="D513" s="1">
        <v>9.7553168E7</v>
      </c>
      <c r="E513" s="1" t="s">
        <v>14</v>
      </c>
      <c r="F513" s="1" t="s">
        <v>33</v>
      </c>
      <c r="G513" s="1">
        <v>17.0</v>
      </c>
      <c r="H513" s="1">
        <v>1.0</v>
      </c>
      <c r="I513" s="1" t="s">
        <v>34</v>
      </c>
      <c r="J513" s="1" t="s">
        <v>43</v>
      </c>
      <c r="K513" s="1" t="s">
        <v>18</v>
      </c>
      <c r="L513" s="1">
        <v>1.0</v>
      </c>
    </row>
    <row r="514">
      <c r="A514" s="1" t="s">
        <v>1056</v>
      </c>
      <c r="B514" s="1" t="s">
        <v>1057</v>
      </c>
      <c r="C514" s="2">
        <v>45244.0</v>
      </c>
      <c r="D514" s="1">
        <v>5.2937309E7</v>
      </c>
      <c r="E514" s="1" t="s">
        <v>47</v>
      </c>
      <c r="F514" s="1" t="s">
        <v>26</v>
      </c>
      <c r="G514" s="1">
        <v>89.0</v>
      </c>
      <c r="H514" s="1">
        <v>1.0</v>
      </c>
      <c r="I514" s="1" t="s">
        <v>27</v>
      </c>
      <c r="J514" s="1" t="s">
        <v>43</v>
      </c>
      <c r="K514" s="1" t="s">
        <v>44</v>
      </c>
      <c r="L514" s="1">
        <v>0.0</v>
      </c>
    </row>
    <row r="515">
      <c r="A515" s="1" t="s">
        <v>1058</v>
      </c>
      <c r="B515" s="1" t="s">
        <v>1059</v>
      </c>
      <c r="C515" s="2">
        <v>45018.0</v>
      </c>
      <c r="D515" s="1">
        <v>2.839093E7</v>
      </c>
      <c r="E515" s="1" t="s">
        <v>14</v>
      </c>
      <c r="F515" s="1" t="s">
        <v>26</v>
      </c>
      <c r="G515" s="1">
        <v>81.0</v>
      </c>
      <c r="H515" s="1">
        <v>0.0</v>
      </c>
      <c r="I515" s="1" t="s">
        <v>34</v>
      </c>
      <c r="J515" s="1" t="s">
        <v>35</v>
      </c>
      <c r="K515" s="1" t="s">
        <v>18</v>
      </c>
      <c r="L515" s="1">
        <v>0.0</v>
      </c>
    </row>
    <row r="516">
      <c r="A516" s="1" t="s">
        <v>1060</v>
      </c>
      <c r="B516" s="1" t="s">
        <v>1061</v>
      </c>
      <c r="C516" s="2">
        <v>45038.0</v>
      </c>
      <c r="D516" s="1">
        <v>8.4242877E7</v>
      </c>
      <c r="E516" s="1" t="s">
        <v>25</v>
      </c>
      <c r="F516" s="1" t="s">
        <v>38</v>
      </c>
      <c r="G516" s="1">
        <v>125.0</v>
      </c>
      <c r="H516" s="1">
        <v>0.0</v>
      </c>
      <c r="I516" s="1" t="s">
        <v>21</v>
      </c>
      <c r="J516" s="1" t="s">
        <v>43</v>
      </c>
      <c r="K516" s="1" t="s">
        <v>18</v>
      </c>
      <c r="L516" s="1">
        <v>0.0</v>
      </c>
    </row>
    <row r="517">
      <c r="A517" s="1" t="s">
        <v>1062</v>
      </c>
      <c r="B517" s="1" t="s">
        <v>1063</v>
      </c>
      <c r="C517" s="2">
        <v>45138.0</v>
      </c>
      <c r="D517" s="1">
        <v>3.8935053E7</v>
      </c>
      <c r="E517" s="1" t="s">
        <v>47</v>
      </c>
      <c r="F517" s="1" t="s">
        <v>33</v>
      </c>
      <c r="G517" s="1">
        <v>119.0</v>
      </c>
      <c r="H517" s="1">
        <v>1.0</v>
      </c>
      <c r="I517" s="1" t="s">
        <v>34</v>
      </c>
      <c r="J517" s="1" t="s">
        <v>35</v>
      </c>
      <c r="K517" s="1" t="s">
        <v>30</v>
      </c>
      <c r="L517" s="1">
        <v>0.0</v>
      </c>
    </row>
    <row r="518">
      <c r="A518" s="1" t="s">
        <v>1064</v>
      </c>
      <c r="B518" s="1" t="s">
        <v>1065</v>
      </c>
      <c r="C518" s="2">
        <v>45287.0</v>
      </c>
      <c r="D518" s="1">
        <v>8.8426358E7</v>
      </c>
      <c r="E518" s="1" t="s">
        <v>25</v>
      </c>
      <c r="F518" s="1" t="s">
        <v>15</v>
      </c>
      <c r="G518" s="1">
        <v>62.0</v>
      </c>
      <c r="H518" s="1">
        <v>0.0</v>
      </c>
      <c r="I518" s="1" t="s">
        <v>21</v>
      </c>
      <c r="J518" s="1" t="s">
        <v>17</v>
      </c>
      <c r="K518" s="1" t="s">
        <v>30</v>
      </c>
      <c r="L518" s="1">
        <v>0.0</v>
      </c>
    </row>
    <row r="519">
      <c r="A519" s="1" t="s">
        <v>1066</v>
      </c>
      <c r="B519" s="1" t="s">
        <v>1067</v>
      </c>
      <c r="C519" s="2">
        <v>45017.0</v>
      </c>
      <c r="D519" s="1">
        <v>4.1149911E7</v>
      </c>
      <c r="E519" s="1" t="s">
        <v>47</v>
      </c>
      <c r="F519" s="1" t="s">
        <v>26</v>
      </c>
      <c r="G519" s="1">
        <v>154.0</v>
      </c>
      <c r="H519" s="1">
        <v>1.0</v>
      </c>
      <c r="I519" s="1" t="s">
        <v>21</v>
      </c>
      <c r="J519" s="1" t="s">
        <v>43</v>
      </c>
      <c r="K519" s="1" t="s">
        <v>30</v>
      </c>
      <c r="L519" s="1">
        <v>0.0</v>
      </c>
    </row>
    <row r="520">
      <c r="A520" s="1" t="s">
        <v>1068</v>
      </c>
      <c r="B520" s="1" t="s">
        <v>1069</v>
      </c>
      <c r="C520" s="2">
        <v>44953.0</v>
      </c>
      <c r="D520" s="1">
        <v>9.5007076E7</v>
      </c>
      <c r="E520" s="1" t="s">
        <v>14</v>
      </c>
      <c r="F520" s="1" t="s">
        <v>42</v>
      </c>
      <c r="G520" s="1">
        <v>113.0</v>
      </c>
      <c r="H520" s="1">
        <v>1.0</v>
      </c>
      <c r="I520" s="1" t="s">
        <v>27</v>
      </c>
      <c r="J520" s="1" t="s">
        <v>35</v>
      </c>
      <c r="K520" s="1" t="s">
        <v>30</v>
      </c>
      <c r="L520" s="1">
        <v>0.0</v>
      </c>
    </row>
    <row r="521">
      <c r="A521" s="1" t="s">
        <v>1070</v>
      </c>
      <c r="B521" s="1" t="s">
        <v>1071</v>
      </c>
      <c r="C521" s="2">
        <v>45000.0</v>
      </c>
      <c r="D521" s="1">
        <v>4842538.0</v>
      </c>
      <c r="E521" s="1" t="s">
        <v>47</v>
      </c>
      <c r="F521" s="1" t="s">
        <v>38</v>
      </c>
      <c r="G521" s="1">
        <v>17.0</v>
      </c>
      <c r="H521" s="1">
        <v>1.0</v>
      </c>
      <c r="I521" s="1" t="s">
        <v>21</v>
      </c>
      <c r="J521" s="1" t="s">
        <v>17</v>
      </c>
      <c r="K521" s="1" t="s">
        <v>30</v>
      </c>
      <c r="L521" s="1">
        <v>0.0</v>
      </c>
    </row>
    <row r="522">
      <c r="A522" s="1" t="s">
        <v>1072</v>
      </c>
      <c r="B522" s="1" t="s">
        <v>1073</v>
      </c>
      <c r="C522" s="2">
        <v>45150.0</v>
      </c>
      <c r="D522" s="1">
        <v>6613488.0</v>
      </c>
      <c r="E522" s="1" t="s">
        <v>47</v>
      </c>
      <c r="F522" s="1" t="s">
        <v>33</v>
      </c>
      <c r="G522" s="1">
        <v>150.0</v>
      </c>
      <c r="H522" s="1">
        <v>1.0</v>
      </c>
      <c r="I522" s="1" t="s">
        <v>16</v>
      </c>
      <c r="J522" s="1" t="s">
        <v>43</v>
      </c>
      <c r="K522" s="1" t="s">
        <v>30</v>
      </c>
      <c r="L522" s="1">
        <v>0.0</v>
      </c>
    </row>
    <row r="523">
      <c r="A523" s="1" t="s">
        <v>1074</v>
      </c>
      <c r="B523" s="1" t="s">
        <v>1075</v>
      </c>
      <c r="C523" s="2">
        <v>45277.0</v>
      </c>
      <c r="D523" s="1">
        <v>4.3198283E7</v>
      </c>
      <c r="E523" s="1" t="s">
        <v>14</v>
      </c>
      <c r="F523" s="1" t="s">
        <v>26</v>
      </c>
      <c r="G523" s="1">
        <v>172.0</v>
      </c>
      <c r="H523" s="1">
        <v>1.0</v>
      </c>
      <c r="I523" s="1" t="s">
        <v>27</v>
      </c>
      <c r="J523" s="1" t="s">
        <v>35</v>
      </c>
      <c r="K523" s="1" t="s">
        <v>18</v>
      </c>
      <c r="L523" s="1">
        <v>0.0</v>
      </c>
    </row>
    <row r="524">
      <c r="A524" s="1" t="s">
        <v>1076</v>
      </c>
      <c r="B524" s="1" t="s">
        <v>1077</v>
      </c>
      <c r="C524" s="2">
        <v>45200.0</v>
      </c>
      <c r="D524" s="1">
        <v>2.739061E7</v>
      </c>
      <c r="E524" s="1" t="s">
        <v>14</v>
      </c>
      <c r="F524" s="1" t="s">
        <v>42</v>
      </c>
      <c r="G524" s="1">
        <v>164.0</v>
      </c>
      <c r="H524" s="1">
        <v>0.0</v>
      </c>
      <c r="I524" s="1" t="s">
        <v>16</v>
      </c>
      <c r="J524" s="1" t="s">
        <v>35</v>
      </c>
      <c r="K524" s="1" t="s">
        <v>44</v>
      </c>
      <c r="L524" s="1">
        <v>0.0</v>
      </c>
    </row>
    <row r="525">
      <c r="A525" s="1" t="s">
        <v>1078</v>
      </c>
      <c r="B525" s="1" t="s">
        <v>1079</v>
      </c>
      <c r="C525" s="2">
        <v>45126.0</v>
      </c>
      <c r="D525" s="1">
        <v>352581.0</v>
      </c>
      <c r="E525" s="1" t="s">
        <v>14</v>
      </c>
      <c r="F525" s="1" t="s">
        <v>26</v>
      </c>
      <c r="G525" s="1">
        <v>116.0</v>
      </c>
      <c r="H525" s="1">
        <v>1.0</v>
      </c>
      <c r="I525" s="1" t="s">
        <v>27</v>
      </c>
      <c r="J525" s="1" t="s">
        <v>43</v>
      </c>
      <c r="K525" s="1" t="s">
        <v>44</v>
      </c>
      <c r="L525" s="1">
        <v>0.0</v>
      </c>
    </row>
    <row r="526">
      <c r="A526" s="1" t="s">
        <v>1080</v>
      </c>
      <c r="B526" s="1" t="s">
        <v>1081</v>
      </c>
      <c r="C526" s="2">
        <v>45239.0</v>
      </c>
      <c r="D526" s="1">
        <v>9.3632348E7</v>
      </c>
      <c r="E526" s="1" t="s">
        <v>47</v>
      </c>
      <c r="F526" s="1" t="s">
        <v>26</v>
      </c>
      <c r="G526" s="1">
        <v>162.0</v>
      </c>
      <c r="H526" s="1">
        <v>1.0</v>
      </c>
      <c r="I526" s="1" t="s">
        <v>34</v>
      </c>
      <c r="J526" s="1" t="s">
        <v>43</v>
      </c>
      <c r="K526" s="1" t="s">
        <v>44</v>
      </c>
      <c r="L526" s="1">
        <v>0.0</v>
      </c>
    </row>
    <row r="527">
      <c r="A527" s="1" t="s">
        <v>1082</v>
      </c>
      <c r="B527" s="1" t="s">
        <v>1083</v>
      </c>
      <c r="C527" s="2">
        <v>45218.0</v>
      </c>
      <c r="D527" s="1">
        <v>7.9070393E7</v>
      </c>
      <c r="E527" s="1" t="s">
        <v>25</v>
      </c>
      <c r="F527" s="1" t="s">
        <v>33</v>
      </c>
      <c r="G527" s="1">
        <v>42.0</v>
      </c>
      <c r="H527" s="1">
        <v>1.0</v>
      </c>
      <c r="I527" s="1" t="s">
        <v>34</v>
      </c>
      <c r="J527" s="1" t="s">
        <v>43</v>
      </c>
      <c r="K527" s="1" t="s">
        <v>18</v>
      </c>
      <c r="L527" s="1">
        <v>0.0</v>
      </c>
    </row>
    <row r="528">
      <c r="A528" s="1" t="s">
        <v>1084</v>
      </c>
      <c r="B528" s="1" t="s">
        <v>1085</v>
      </c>
      <c r="C528" s="2">
        <v>45128.0</v>
      </c>
      <c r="D528" s="1">
        <v>6.6118404E7</v>
      </c>
      <c r="E528" s="1" t="s">
        <v>14</v>
      </c>
      <c r="F528" s="1" t="s">
        <v>26</v>
      </c>
      <c r="G528" s="1">
        <v>5.0</v>
      </c>
      <c r="H528" s="1">
        <v>0.0</v>
      </c>
      <c r="I528" s="1" t="s">
        <v>27</v>
      </c>
      <c r="J528" s="1" t="s">
        <v>17</v>
      </c>
      <c r="K528" s="1" t="s">
        <v>30</v>
      </c>
      <c r="L528" s="1">
        <v>0.0</v>
      </c>
    </row>
    <row r="529">
      <c r="A529" s="1" t="s">
        <v>1086</v>
      </c>
      <c r="B529" s="1" t="s">
        <v>1087</v>
      </c>
      <c r="C529" s="2">
        <v>45147.0</v>
      </c>
      <c r="D529" s="1">
        <v>6208974.0</v>
      </c>
      <c r="E529" s="1" t="s">
        <v>25</v>
      </c>
      <c r="F529" s="1" t="s">
        <v>42</v>
      </c>
      <c r="G529" s="1">
        <v>28.0</v>
      </c>
      <c r="H529" s="1">
        <v>0.0</v>
      </c>
      <c r="I529" s="1" t="s">
        <v>21</v>
      </c>
      <c r="J529" s="1" t="s">
        <v>22</v>
      </c>
      <c r="K529" s="1" t="s">
        <v>44</v>
      </c>
      <c r="L529" s="1">
        <v>0.0</v>
      </c>
    </row>
    <row r="530">
      <c r="A530" s="1" t="s">
        <v>1088</v>
      </c>
      <c r="B530" s="1" t="s">
        <v>1089</v>
      </c>
      <c r="C530" s="2">
        <v>45230.0</v>
      </c>
      <c r="D530" s="1">
        <v>5.7527604E7</v>
      </c>
      <c r="E530" s="1" t="s">
        <v>25</v>
      </c>
      <c r="F530" s="1" t="s">
        <v>42</v>
      </c>
      <c r="G530" s="1">
        <v>146.0</v>
      </c>
      <c r="H530" s="1">
        <v>0.0</v>
      </c>
      <c r="I530" s="1" t="s">
        <v>34</v>
      </c>
      <c r="J530" s="1" t="s">
        <v>43</v>
      </c>
      <c r="K530" s="1" t="s">
        <v>44</v>
      </c>
      <c r="L530" s="1">
        <v>0.0</v>
      </c>
    </row>
    <row r="531">
      <c r="A531" s="1" t="s">
        <v>1090</v>
      </c>
      <c r="B531" s="1" t="s">
        <v>1091</v>
      </c>
      <c r="C531" s="2">
        <v>44975.0</v>
      </c>
      <c r="D531" s="1">
        <v>1.2852932E7</v>
      </c>
      <c r="E531" s="1" t="s">
        <v>47</v>
      </c>
      <c r="F531" s="1" t="s">
        <v>42</v>
      </c>
      <c r="G531" s="1">
        <v>141.0</v>
      </c>
      <c r="H531" s="1">
        <v>1.0</v>
      </c>
      <c r="I531" s="1" t="s">
        <v>27</v>
      </c>
      <c r="J531" s="1" t="s">
        <v>39</v>
      </c>
      <c r="K531" s="1" t="s">
        <v>44</v>
      </c>
      <c r="L531" s="1">
        <v>0.0</v>
      </c>
    </row>
    <row r="532">
      <c r="A532" s="1" t="s">
        <v>1092</v>
      </c>
      <c r="B532" s="1" t="s">
        <v>1093</v>
      </c>
      <c r="C532" s="2">
        <v>45044.0</v>
      </c>
      <c r="D532" s="1">
        <v>7.1507699E7</v>
      </c>
      <c r="E532" s="1" t="s">
        <v>47</v>
      </c>
      <c r="F532" s="1" t="s">
        <v>26</v>
      </c>
      <c r="G532" s="1">
        <v>58.0</v>
      </c>
      <c r="H532" s="1">
        <v>1.0</v>
      </c>
      <c r="I532" s="1" t="s">
        <v>16</v>
      </c>
      <c r="J532" s="1" t="s">
        <v>43</v>
      </c>
      <c r="K532" s="1" t="s">
        <v>44</v>
      </c>
      <c r="L532" s="1">
        <v>0.0</v>
      </c>
    </row>
    <row r="533">
      <c r="A533" s="1" t="s">
        <v>1094</v>
      </c>
      <c r="B533" s="1" t="s">
        <v>1095</v>
      </c>
      <c r="C533" s="2">
        <v>44994.0</v>
      </c>
      <c r="D533" s="1">
        <v>7.7369321E7</v>
      </c>
      <c r="E533" s="1" t="s">
        <v>47</v>
      </c>
      <c r="F533" s="1" t="s">
        <v>42</v>
      </c>
      <c r="G533" s="1">
        <v>85.0</v>
      </c>
      <c r="H533" s="1">
        <v>1.0</v>
      </c>
      <c r="I533" s="1" t="s">
        <v>21</v>
      </c>
      <c r="J533" s="1" t="s">
        <v>43</v>
      </c>
      <c r="K533" s="1" t="s">
        <v>44</v>
      </c>
      <c r="L533" s="1">
        <v>0.0</v>
      </c>
    </row>
    <row r="534">
      <c r="A534" s="1" t="s">
        <v>1096</v>
      </c>
      <c r="B534" s="1" t="s">
        <v>1097</v>
      </c>
      <c r="C534" s="2">
        <v>45050.0</v>
      </c>
      <c r="D534" s="1">
        <v>5124015.0</v>
      </c>
      <c r="E534" s="1" t="s">
        <v>25</v>
      </c>
      <c r="F534" s="1" t="s">
        <v>38</v>
      </c>
      <c r="G534" s="1">
        <v>18.0</v>
      </c>
      <c r="H534" s="1">
        <v>1.0</v>
      </c>
      <c r="I534" s="1" t="s">
        <v>34</v>
      </c>
      <c r="J534" s="1" t="s">
        <v>35</v>
      </c>
      <c r="K534" s="1" t="s">
        <v>44</v>
      </c>
      <c r="L534" s="1">
        <v>0.0</v>
      </c>
    </row>
    <row r="535">
      <c r="A535" s="1" t="s">
        <v>1098</v>
      </c>
      <c r="B535" s="1" t="s">
        <v>1099</v>
      </c>
      <c r="C535" s="2">
        <v>45126.0</v>
      </c>
      <c r="D535" s="1">
        <v>2.0739843E7</v>
      </c>
      <c r="E535" s="1" t="s">
        <v>25</v>
      </c>
      <c r="F535" s="1" t="s">
        <v>33</v>
      </c>
      <c r="G535" s="1">
        <v>141.0</v>
      </c>
      <c r="H535" s="1">
        <v>1.0</v>
      </c>
      <c r="I535" s="1" t="s">
        <v>34</v>
      </c>
      <c r="J535" s="1" t="s">
        <v>17</v>
      </c>
      <c r="K535" s="1" t="s">
        <v>18</v>
      </c>
      <c r="L535" s="1">
        <v>0.0</v>
      </c>
    </row>
    <row r="536">
      <c r="A536" s="1" t="s">
        <v>1100</v>
      </c>
      <c r="B536" s="1" t="s">
        <v>1101</v>
      </c>
      <c r="C536" s="2">
        <v>45245.0</v>
      </c>
      <c r="D536" s="1">
        <v>6.7483617E7</v>
      </c>
      <c r="E536" s="1" t="s">
        <v>14</v>
      </c>
      <c r="F536" s="1" t="s">
        <v>15</v>
      </c>
      <c r="G536" s="1">
        <v>139.0</v>
      </c>
      <c r="H536" s="1">
        <v>0.0</v>
      </c>
      <c r="I536" s="1" t="s">
        <v>21</v>
      </c>
      <c r="J536" s="1" t="s">
        <v>43</v>
      </c>
      <c r="K536" s="1" t="s">
        <v>30</v>
      </c>
      <c r="L536" s="1">
        <v>0.0</v>
      </c>
    </row>
    <row r="537">
      <c r="A537" s="1" t="s">
        <v>1102</v>
      </c>
      <c r="B537" s="1" t="s">
        <v>1103</v>
      </c>
      <c r="C537" s="2">
        <v>45220.0</v>
      </c>
      <c r="D537" s="1">
        <v>5.0678082E7</v>
      </c>
      <c r="E537" s="1" t="s">
        <v>25</v>
      </c>
      <c r="F537" s="1" t="s">
        <v>15</v>
      </c>
      <c r="G537" s="1">
        <v>160.0</v>
      </c>
      <c r="H537" s="1">
        <v>1.0</v>
      </c>
      <c r="I537" s="1" t="s">
        <v>16</v>
      </c>
      <c r="J537" s="1" t="s">
        <v>22</v>
      </c>
      <c r="K537" s="1" t="s">
        <v>30</v>
      </c>
      <c r="L537" s="1">
        <v>0.0</v>
      </c>
    </row>
    <row r="538">
      <c r="A538" s="1" t="s">
        <v>1104</v>
      </c>
      <c r="B538" s="1" t="s">
        <v>1105</v>
      </c>
      <c r="C538" s="2">
        <v>44932.0</v>
      </c>
      <c r="D538" s="1">
        <v>8.5123755E7</v>
      </c>
      <c r="E538" s="1" t="s">
        <v>25</v>
      </c>
      <c r="F538" s="1" t="s">
        <v>15</v>
      </c>
      <c r="G538" s="1">
        <v>170.0</v>
      </c>
      <c r="H538" s="1">
        <v>1.0</v>
      </c>
      <c r="I538" s="1" t="s">
        <v>34</v>
      </c>
      <c r="J538" s="1" t="s">
        <v>17</v>
      </c>
      <c r="K538" s="1" t="s">
        <v>44</v>
      </c>
      <c r="L538" s="1">
        <v>1.0</v>
      </c>
    </row>
    <row r="539">
      <c r="A539" s="1" t="s">
        <v>1106</v>
      </c>
      <c r="B539" s="1" t="s">
        <v>1107</v>
      </c>
      <c r="C539" s="2">
        <v>45024.0</v>
      </c>
      <c r="D539" s="1">
        <v>9.9961022E7</v>
      </c>
      <c r="E539" s="1" t="s">
        <v>14</v>
      </c>
      <c r="F539" s="1" t="s">
        <v>42</v>
      </c>
      <c r="G539" s="1">
        <v>168.0</v>
      </c>
      <c r="H539" s="1">
        <v>0.0</v>
      </c>
      <c r="I539" s="1" t="s">
        <v>21</v>
      </c>
      <c r="J539" s="1" t="s">
        <v>39</v>
      </c>
      <c r="K539" s="1" t="s">
        <v>30</v>
      </c>
      <c r="L539" s="1">
        <v>0.0</v>
      </c>
    </row>
    <row r="540">
      <c r="A540" s="1" t="s">
        <v>1108</v>
      </c>
      <c r="B540" s="1" t="s">
        <v>1109</v>
      </c>
      <c r="C540" s="2">
        <v>44982.0</v>
      </c>
      <c r="D540" s="1">
        <v>2.8638926E7</v>
      </c>
      <c r="E540" s="1" t="s">
        <v>47</v>
      </c>
      <c r="F540" s="1" t="s">
        <v>42</v>
      </c>
      <c r="G540" s="1">
        <v>45.0</v>
      </c>
      <c r="H540" s="1">
        <v>1.0</v>
      </c>
      <c r="I540" s="1" t="s">
        <v>27</v>
      </c>
      <c r="J540" s="1" t="s">
        <v>43</v>
      </c>
      <c r="K540" s="1" t="s">
        <v>18</v>
      </c>
      <c r="L540" s="1">
        <v>0.0</v>
      </c>
    </row>
    <row r="541">
      <c r="A541" s="1" t="s">
        <v>1110</v>
      </c>
      <c r="B541" s="1" t="s">
        <v>1111</v>
      </c>
      <c r="C541" s="2">
        <v>44965.0</v>
      </c>
      <c r="D541" s="1">
        <v>8.7177435E7</v>
      </c>
      <c r="E541" s="1" t="s">
        <v>14</v>
      </c>
      <c r="F541" s="1" t="s">
        <v>38</v>
      </c>
      <c r="G541" s="1">
        <v>159.0</v>
      </c>
      <c r="H541" s="1">
        <v>1.0</v>
      </c>
      <c r="I541" s="1" t="s">
        <v>16</v>
      </c>
      <c r="J541" s="1" t="s">
        <v>43</v>
      </c>
      <c r="K541" s="1" t="s">
        <v>30</v>
      </c>
      <c r="L541" s="1">
        <v>1.0</v>
      </c>
    </row>
    <row r="542">
      <c r="A542" s="1" t="s">
        <v>1112</v>
      </c>
      <c r="B542" s="1" t="s">
        <v>1113</v>
      </c>
      <c r="C542" s="2">
        <v>44976.0</v>
      </c>
      <c r="D542" s="1">
        <v>7412226.0</v>
      </c>
      <c r="E542" s="1" t="s">
        <v>47</v>
      </c>
      <c r="F542" s="1" t="s">
        <v>42</v>
      </c>
      <c r="G542" s="1">
        <v>99.0</v>
      </c>
      <c r="H542" s="1">
        <v>1.0</v>
      </c>
      <c r="I542" s="1" t="s">
        <v>27</v>
      </c>
      <c r="J542" s="1" t="s">
        <v>43</v>
      </c>
      <c r="K542" s="1" t="s">
        <v>18</v>
      </c>
      <c r="L542" s="1">
        <v>0.0</v>
      </c>
    </row>
    <row r="543">
      <c r="A543" s="1" t="s">
        <v>1114</v>
      </c>
      <c r="B543" s="1" t="s">
        <v>1115</v>
      </c>
      <c r="C543" s="2">
        <v>45191.0</v>
      </c>
      <c r="D543" s="1">
        <v>1.7744096E7</v>
      </c>
      <c r="E543" s="1" t="s">
        <v>14</v>
      </c>
      <c r="F543" s="1" t="s">
        <v>42</v>
      </c>
      <c r="G543" s="1">
        <v>50.0</v>
      </c>
      <c r="H543" s="1">
        <v>1.0</v>
      </c>
      <c r="I543" s="1" t="s">
        <v>21</v>
      </c>
      <c r="J543" s="1" t="s">
        <v>35</v>
      </c>
      <c r="K543" s="1" t="s">
        <v>18</v>
      </c>
      <c r="L543" s="1">
        <v>0.0</v>
      </c>
    </row>
    <row r="544">
      <c r="A544" s="1" t="s">
        <v>1116</v>
      </c>
      <c r="B544" s="1" t="s">
        <v>1117</v>
      </c>
      <c r="C544" s="2">
        <v>45049.0</v>
      </c>
      <c r="D544" s="1">
        <v>9.6301821E7</v>
      </c>
      <c r="E544" s="1" t="s">
        <v>47</v>
      </c>
      <c r="F544" s="1" t="s">
        <v>15</v>
      </c>
      <c r="G544" s="1">
        <v>85.0</v>
      </c>
      <c r="H544" s="1">
        <v>1.0</v>
      </c>
      <c r="I544" s="1" t="s">
        <v>34</v>
      </c>
      <c r="J544" s="1" t="s">
        <v>39</v>
      </c>
      <c r="K544" s="1" t="s">
        <v>30</v>
      </c>
      <c r="L544" s="1">
        <v>0.0</v>
      </c>
    </row>
    <row r="545">
      <c r="A545" s="1" t="s">
        <v>1118</v>
      </c>
      <c r="B545" s="1" t="s">
        <v>1119</v>
      </c>
      <c r="C545" s="2">
        <v>45120.0</v>
      </c>
      <c r="D545" s="1">
        <v>6.3391114E7</v>
      </c>
      <c r="E545" s="1" t="s">
        <v>14</v>
      </c>
      <c r="F545" s="1" t="s">
        <v>26</v>
      </c>
      <c r="G545" s="1">
        <v>63.0</v>
      </c>
      <c r="H545" s="1">
        <v>1.0</v>
      </c>
      <c r="I545" s="1" t="s">
        <v>21</v>
      </c>
      <c r="J545" s="1" t="s">
        <v>43</v>
      </c>
      <c r="K545" s="1" t="s">
        <v>30</v>
      </c>
      <c r="L545" s="1">
        <v>0.0</v>
      </c>
    </row>
    <row r="546">
      <c r="A546" s="1" t="s">
        <v>1120</v>
      </c>
      <c r="B546" s="1" t="s">
        <v>1121</v>
      </c>
      <c r="C546" s="2">
        <v>45249.0</v>
      </c>
      <c r="D546" s="1">
        <v>5.1786427E7</v>
      </c>
      <c r="E546" s="1" t="s">
        <v>25</v>
      </c>
      <c r="F546" s="1" t="s">
        <v>15</v>
      </c>
      <c r="G546" s="1">
        <v>156.0</v>
      </c>
      <c r="H546" s="1">
        <v>1.0</v>
      </c>
      <c r="I546" s="1" t="s">
        <v>27</v>
      </c>
      <c r="J546" s="1" t="s">
        <v>43</v>
      </c>
      <c r="K546" s="1" t="s">
        <v>30</v>
      </c>
      <c r="L546" s="1">
        <v>0.0</v>
      </c>
    </row>
    <row r="547">
      <c r="A547" s="1" t="s">
        <v>1122</v>
      </c>
      <c r="B547" s="1" t="s">
        <v>1123</v>
      </c>
      <c r="C547" s="2">
        <v>44989.0</v>
      </c>
      <c r="D547" s="1">
        <v>1.7648004E7</v>
      </c>
      <c r="E547" s="1" t="s">
        <v>25</v>
      </c>
      <c r="F547" s="1" t="s">
        <v>33</v>
      </c>
      <c r="G547" s="1">
        <v>130.0</v>
      </c>
      <c r="H547" s="1">
        <v>1.0</v>
      </c>
      <c r="I547" s="1" t="s">
        <v>34</v>
      </c>
      <c r="J547" s="1" t="s">
        <v>43</v>
      </c>
      <c r="K547" s="1" t="s">
        <v>18</v>
      </c>
      <c r="L547" s="1">
        <v>0.0</v>
      </c>
    </row>
    <row r="548">
      <c r="A548" s="1" t="s">
        <v>1124</v>
      </c>
      <c r="B548" s="1" t="s">
        <v>1125</v>
      </c>
      <c r="C548" s="2">
        <v>44943.0</v>
      </c>
      <c r="D548" s="1">
        <v>3.3850573E7</v>
      </c>
      <c r="E548" s="1" t="s">
        <v>14</v>
      </c>
      <c r="F548" s="1" t="s">
        <v>42</v>
      </c>
      <c r="G548" s="1">
        <v>23.0</v>
      </c>
      <c r="H548" s="1">
        <v>1.0</v>
      </c>
      <c r="I548" s="1" t="s">
        <v>27</v>
      </c>
      <c r="J548" s="1" t="s">
        <v>43</v>
      </c>
      <c r="K548" s="1" t="s">
        <v>44</v>
      </c>
      <c r="L548" s="1">
        <v>0.0</v>
      </c>
    </row>
    <row r="549">
      <c r="A549" s="1" t="s">
        <v>1126</v>
      </c>
      <c r="B549" s="1" t="s">
        <v>1127</v>
      </c>
      <c r="C549" s="2">
        <v>45116.0</v>
      </c>
      <c r="D549" s="1">
        <v>3.1237345E7</v>
      </c>
      <c r="E549" s="1" t="s">
        <v>25</v>
      </c>
      <c r="F549" s="1" t="s">
        <v>33</v>
      </c>
      <c r="G549" s="1">
        <v>148.0</v>
      </c>
      <c r="H549" s="1">
        <v>0.0</v>
      </c>
      <c r="I549" s="1" t="s">
        <v>16</v>
      </c>
      <c r="J549" s="1" t="s">
        <v>17</v>
      </c>
      <c r="K549" s="1" t="s">
        <v>30</v>
      </c>
      <c r="L549" s="1">
        <v>0.0</v>
      </c>
    </row>
    <row r="550">
      <c r="A550" s="1" t="s">
        <v>1128</v>
      </c>
      <c r="B550" s="1" t="s">
        <v>1129</v>
      </c>
      <c r="C550" s="2">
        <v>45121.0</v>
      </c>
      <c r="D550" s="1">
        <v>1.110283E7</v>
      </c>
      <c r="E550" s="1" t="s">
        <v>14</v>
      </c>
      <c r="F550" s="1" t="s">
        <v>26</v>
      </c>
      <c r="G550" s="1">
        <v>130.0</v>
      </c>
      <c r="H550" s="1">
        <v>1.0</v>
      </c>
      <c r="I550" s="1" t="s">
        <v>16</v>
      </c>
      <c r="J550" s="1" t="s">
        <v>39</v>
      </c>
      <c r="K550" s="1" t="s">
        <v>30</v>
      </c>
      <c r="L550" s="1">
        <v>0.0</v>
      </c>
    </row>
    <row r="551">
      <c r="A551" s="1" t="s">
        <v>1130</v>
      </c>
      <c r="B551" s="1" t="s">
        <v>1131</v>
      </c>
      <c r="C551" s="2">
        <v>45194.0</v>
      </c>
      <c r="D551" s="1">
        <v>6.3911183E7</v>
      </c>
      <c r="E551" s="1" t="s">
        <v>25</v>
      </c>
      <c r="F551" s="1" t="s">
        <v>33</v>
      </c>
      <c r="G551" s="1">
        <v>93.0</v>
      </c>
      <c r="H551" s="1">
        <v>0.0</v>
      </c>
      <c r="I551" s="1" t="s">
        <v>34</v>
      </c>
      <c r="J551" s="1" t="s">
        <v>39</v>
      </c>
      <c r="K551" s="1" t="s">
        <v>18</v>
      </c>
      <c r="L551" s="1">
        <v>0.0</v>
      </c>
    </row>
    <row r="552">
      <c r="A552" s="1" t="s">
        <v>1132</v>
      </c>
      <c r="B552" s="1" t="s">
        <v>1133</v>
      </c>
      <c r="C552" s="2">
        <v>44947.0</v>
      </c>
      <c r="D552" s="1">
        <v>4.6213587E7</v>
      </c>
      <c r="E552" s="1" t="s">
        <v>14</v>
      </c>
      <c r="F552" s="1" t="s">
        <v>42</v>
      </c>
      <c r="G552" s="1">
        <v>69.0</v>
      </c>
      <c r="H552" s="1">
        <v>0.0</v>
      </c>
      <c r="I552" s="1" t="s">
        <v>27</v>
      </c>
      <c r="J552" s="1" t="s">
        <v>17</v>
      </c>
      <c r="K552" s="1" t="s">
        <v>44</v>
      </c>
      <c r="L552" s="1">
        <v>0.0</v>
      </c>
    </row>
    <row r="553">
      <c r="A553" s="1" t="s">
        <v>1134</v>
      </c>
      <c r="B553" s="1" t="s">
        <v>1135</v>
      </c>
      <c r="C553" s="2">
        <v>45027.0</v>
      </c>
      <c r="D553" s="1">
        <v>5.6860122E7</v>
      </c>
      <c r="E553" s="1" t="s">
        <v>14</v>
      </c>
      <c r="F553" s="1" t="s">
        <v>38</v>
      </c>
      <c r="G553" s="1">
        <v>136.0</v>
      </c>
      <c r="H553" s="1">
        <v>1.0</v>
      </c>
      <c r="I553" s="1" t="s">
        <v>34</v>
      </c>
      <c r="J553" s="1" t="s">
        <v>35</v>
      </c>
      <c r="K553" s="1" t="s">
        <v>44</v>
      </c>
      <c r="L553" s="1">
        <v>0.0</v>
      </c>
    </row>
    <row r="554">
      <c r="A554" s="1" t="s">
        <v>1136</v>
      </c>
      <c r="B554" s="1" t="s">
        <v>1137</v>
      </c>
      <c r="C554" s="2">
        <v>45197.0</v>
      </c>
      <c r="D554" s="1">
        <v>6.0277152E7</v>
      </c>
      <c r="E554" s="1" t="s">
        <v>14</v>
      </c>
      <c r="F554" s="1" t="s">
        <v>15</v>
      </c>
      <c r="G554" s="1">
        <v>153.0</v>
      </c>
      <c r="H554" s="1">
        <v>0.0</v>
      </c>
      <c r="I554" s="1" t="s">
        <v>27</v>
      </c>
      <c r="J554" s="1" t="s">
        <v>39</v>
      </c>
      <c r="K554" s="1" t="s">
        <v>44</v>
      </c>
      <c r="L554" s="1">
        <v>0.0</v>
      </c>
    </row>
    <row r="555">
      <c r="A555" s="1" t="s">
        <v>1138</v>
      </c>
      <c r="B555" s="1" t="s">
        <v>1139</v>
      </c>
      <c r="C555" s="2">
        <v>45047.0</v>
      </c>
      <c r="D555" s="1">
        <v>2.1534416E7</v>
      </c>
      <c r="E555" s="1" t="s">
        <v>47</v>
      </c>
      <c r="F555" s="1" t="s">
        <v>26</v>
      </c>
      <c r="G555" s="1">
        <v>102.0</v>
      </c>
      <c r="H555" s="1">
        <v>1.0</v>
      </c>
      <c r="I555" s="1" t="s">
        <v>34</v>
      </c>
      <c r="J555" s="1" t="s">
        <v>43</v>
      </c>
      <c r="K555" s="1" t="s">
        <v>30</v>
      </c>
      <c r="L555" s="1">
        <v>0.0</v>
      </c>
    </row>
    <row r="556">
      <c r="A556" s="1" t="s">
        <v>1140</v>
      </c>
      <c r="B556" s="1" t="s">
        <v>1141</v>
      </c>
      <c r="C556" s="2">
        <v>44979.0</v>
      </c>
      <c r="D556" s="1">
        <v>3.1498074E7</v>
      </c>
      <c r="E556" s="1" t="s">
        <v>14</v>
      </c>
      <c r="F556" s="1" t="s">
        <v>38</v>
      </c>
      <c r="G556" s="1">
        <v>29.0</v>
      </c>
      <c r="H556" s="1">
        <v>1.0</v>
      </c>
      <c r="I556" s="1" t="s">
        <v>21</v>
      </c>
      <c r="J556" s="1" t="s">
        <v>22</v>
      </c>
      <c r="K556" s="1" t="s">
        <v>44</v>
      </c>
      <c r="L556" s="1">
        <v>0.0</v>
      </c>
    </row>
    <row r="557">
      <c r="A557" s="1" t="s">
        <v>1142</v>
      </c>
      <c r="B557" s="1" t="s">
        <v>1143</v>
      </c>
      <c r="C557" s="2">
        <v>45084.0</v>
      </c>
      <c r="D557" s="1">
        <v>5.3902634E7</v>
      </c>
      <c r="E557" s="1" t="s">
        <v>25</v>
      </c>
      <c r="F557" s="1" t="s">
        <v>15</v>
      </c>
      <c r="G557" s="1">
        <v>45.0</v>
      </c>
      <c r="H557" s="1">
        <v>1.0</v>
      </c>
      <c r="I557" s="1" t="s">
        <v>27</v>
      </c>
      <c r="J557" s="1" t="s">
        <v>17</v>
      </c>
      <c r="K557" s="1" t="s">
        <v>18</v>
      </c>
      <c r="L557" s="1">
        <v>1.0</v>
      </c>
    </row>
    <row r="558">
      <c r="A558" s="1" t="s">
        <v>1144</v>
      </c>
      <c r="B558" s="1" t="s">
        <v>1145</v>
      </c>
      <c r="C558" s="2">
        <v>45197.0</v>
      </c>
      <c r="D558" s="1">
        <v>9.5257976E7</v>
      </c>
      <c r="E558" s="1" t="s">
        <v>25</v>
      </c>
      <c r="F558" s="1" t="s">
        <v>26</v>
      </c>
      <c r="G558" s="1">
        <v>142.0</v>
      </c>
      <c r="H558" s="1">
        <v>1.0</v>
      </c>
      <c r="I558" s="1" t="s">
        <v>21</v>
      </c>
      <c r="J558" s="1" t="s">
        <v>39</v>
      </c>
      <c r="K558" s="1" t="s">
        <v>30</v>
      </c>
      <c r="L558" s="1">
        <v>0.0</v>
      </c>
    </row>
    <row r="559">
      <c r="A559" s="1" t="s">
        <v>1146</v>
      </c>
      <c r="B559" s="1" t="s">
        <v>1147</v>
      </c>
      <c r="C559" s="2">
        <v>45041.0</v>
      </c>
      <c r="D559" s="1">
        <v>3512166.0</v>
      </c>
      <c r="E559" s="1" t="s">
        <v>25</v>
      </c>
      <c r="F559" s="1" t="s">
        <v>33</v>
      </c>
      <c r="G559" s="1">
        <v>77.0</v>
      </c>
      <c r="H559" s="1">
        <v>1.0</v>
      </c>
      <c r="I559" s="1" t="s">
        <v>21</v>
      </c>
      <c r="J559" s="1" t="s">
        <v>39</v>
      </c>
      <c r="K559" s="1" t="s">
        <v>30</v>
      </c>
      <c r="L559" s="1">
        <v>0.0</v>
      </c>
    </row>
    <row r="560">
      <c r="A560" s="1" t="s">
        <v>1148</v>
      </c>
      <c r="B560" s="1" t="s">
        <v>1149</v>
      </c>
      <c r="C560" s="2">
        <v>45165.0</v>
      </c>
      <c r="D560" s="1">
        <v>5353071.0</v>
      </c>
      <c r="E560" s="1" t="s">
        <v>14</v>
      </c>
      <c r="F560" s="1" t="s">
        <v>26</v>
      </c>
      <c r="G560" s="1">
        <v>46.0</v>
      </c>
      <c r="H560" s="1">
        <v>1.0</v>
      </c>
      <c r="I560" s="1" t="s">
        <v>34</v>
      </c>
      <c r="J560" s="1" t="s">
        <v>35</v>
      </c>
      <c r="K560" s="1" t="s">
        <v>18</v>
      </c>
      <c r="L560" s="1">
        <v>0.0</v>
      </c>
    </row>
    <row r="561">
      <c r="A561" s="1" t="s">
        <v>1150</v>
      </c>
      <c r="B561" s="1" t="s">
        <v>1151</v>
      </c>
      <c r="C561" s="2">
        <v>45234.0</v>
      </c>
      <c r="D561" s="1">
        <v>8.4784506E7</v>
      </c>
      <c r="E561" s="1" t="s">
        <v>47</v>
      </c>
      <c r="F561" s="1" t="s">
        <v>42</v>
      </c>
      <c r="G561" s="1">
        <v>24.0</v>
      </c>
      <c r="H561" s="1">
        <v>1.0</v>
      </c>
      <c r="I561" s="1" t="s">
        <v>21</v>
      </c>
      <c r="J561" s="1" t="s">
        <v>22</v>
      </c>
      <c r="K561" s="1" t="s">
        <v>30</v>
      </c>
      <c r="L561" s="1">
        <v>0.0</v>
      </c>
    </row>
    <row r="562">
      <c r="A562" s="1" t="s">
        <v>1152</v>
      </c>
      <c r="B562" s="1" t="s">
        <v>1153</v>
      </c>
      <c r="C562" s="2">
        <v>44959.0</v>
      </c>
      <c r="D562" s="1">
        <v>9.0834455E7</v>
      </c>
      <c r="E562" s="1" t="s">
        <v>14</v>
      </c>
      <c r="F562" s="1" t="s">
        <v>33</v>
      </c>
      <c r="G562" s="1">
        <v>72.0</v>
      </c>
      <c r="H562" s="1">
        <v>0.0</v>
      </c>
      <c r="I562" s="1" t="s">
        <v>34</v>
      </c>
      <c r="J562" s="1" t="s">
        <v>35</v>
      </c>
      <c r="K562" s="1" t="s">
        <v>44</v>
      </c>
      <c r="L562" s="1">
        <v>0.0</v>
      </c>
    </row>
    <row r="563">
      <c r="A563" s="1" t="s">
        <v>1154</v>
      </c>
      <c r="B563" s="1" t="s">
        <v>1155</v>
      </c>
      <c r="C563" s="2">
        <v>45176.0</v>
      </c>
      <c r="D563" s="1">
        <v>5.9130536E7</v>
      </c>
      <c r="E563" s="1" t="s">
        <v>14</v>
      </c>
      <c r="F563" s="1" t="s">
        <v>33</v>
      </c>
      <c r="G563" s="1">
        <v>132.0</v>
      </c>
      <c r="H563" s="1">
        <v>0.0</v>
      </c>
      <c r="I563" s="1" t="s">
        <v>34</v>
      </c>
      <c r="J563" s="1" t="s">
        <v>35</v>
      </c>
      <c r="K563" s="1" t="s">
        <v>18</v>
      </c>
      <c r="L563" s="1">
        <v>0.0</v>
      </c>
    </row>
    <row r="564">
      <c r="A564" s="1" t="s">
        <v>1156</v>
      </c>
      <c r="B564" s="1" t="s">
        <v>1157</v>
      </c>
      <c r="C564" s="2">
        <v>45274.0</v>
      </c>
      <c r="D564" s="1">
        <v>9.0506574E7</v>
      </c>
      <c r="E564" s="1" t="s">
        <v>14</v>
      </c>
      <c r="F564" s="1" t="s">
        <v>38</v>
      </c>
      <c r="G564" s="1">
        <v>124.0</v>
      </c>
      <c r="H564" s="1">
        <v>0.0</v>
      </c>
      <c r="I564" s="1" t="s">
        <v>16</v>
      </c>
      <c r="J564" s="1" t="s">
        <v>43</v>
      </c>
      <c r="K564" s="1" t="s">
        <v>18</v>
      </c>
      <c r="L564" s="1">
        <v>1.0</v>
      </c>
    </row>
    <row r="565">
      <c r="A565" s="1" t="s">
        <v>1158</v>
      </c>
      <c r="B565" s="1" t="s">
        <v>1159</v>
      </c>
      <c r="C565" s="2">
        <v>45189.0</v>
      </c>
      <c r="D565" s="1">
        <v>3.1218429E7</v>
      </c>
      <c r="E565" s="1" t="s">
        <v>25</v>
      </c>
      <c r="F565" s="1" t="s">
        <v>15</v>
      </c>
      <c r="G565" s="1">
        <v>71.0</v>
      </c>
      <c r="H565" s="1">
        <v>0.0</v>
      </c>
      <c r="I565" s="1" t="s">
        <v>21</v>
      </c>
      <c r="J565" s="1" t="s">
        <v>17</v>
      </c>
      <c r="K565" s="1" t="s">
        <v>30</v>
      </c>
      <c r="L565" s="1">
        <v>0.0</v>
      </c>
    </row>
    <row r="566">
      <c r="A566" s="1" t="s">
        <v>1160</v>
      </c>
      <c r="B566" s="1" t="s">
        <v>1161</v>
      </c>
      <c r="C566" s="2">
        <v>45128.0</v>
      </c>
      <c r="D566" s="1">
        <v>8.3621741E7</v>
      </c>
      <c r="E566" s="1" t="s">
        <v>47</v>
      </c>
      <c r="F566" s="1" t="s">
        <v>26</v>
      </c>
      <c r="G566" s="1">
        <v>29.0</v>
      </c>
      <c r="H566" s="1">
        <v>1.0</v>
      </c>
      <c r="I566" s="1" t="s">
        <v>34</v>
      </c>
      <c r="J566" s="1" t="s">
        <v>39</v>
      </c>
      <c r="K566" s="1" t="s">
        <v>30</v>
      </c>
      <c r="L566" s="1">
        <v>1.0</v>
      </c>
    </row>
    <row r="567">
      <c r="A567" s="1" t="s">
        <v>1162</v>
      </c>
      <c r="B567" s="1" t="s">
        <v>1163</v>
      </c>
      <c r="C567" s="2">
        <v>45047.0</v>
      </c>
      <c r="D567" s="1">
        <v>7.2660171E7</v>
      </c>
      <c r="E567" s="1" t="s">
        <v>14</v>
      </c>
      <c r="F567" s="1" t="s">
        <v>42</v>
      </c>
      <c r="G567" s="1">
        <v>89.0</v>
      </c>
      <c r="H567" s="1">
        <v>1.0</v>
      </c>
      <c r="I567" s="1" t="s">
        <v>34</v>
      </c>
      <c r="J567" s="1" t="s">
        <v>39</v>
      </c>
      <c r="K567" s="1" t="s">
        <v>18</v>
      </c>
      <c r="L567" s="1">
        <v>0.0</v>
      </c>
    </row>
    <row r="568">
      <c r="A568" s="1" t="s">
        <v>1164</v>
      </c>
      <c r="B568" s="1" t="s">
        <v>1165</v>
      </c>
      <c r="C568" s="2">
        <v>44992.0</v>
      </c>
      <c r="D568" s="1">
        <v>3287736.0</v>
      </c>
      <c r="E568" s="1" t="s">
        <v>25</v>
      </c>
      <c r="F568" s="1" t="s">
        <v>15</v>
      </c>
      <c r="G568" s="1">
        <v>168.0</v>
      </c>
      <c r="H568" s="1">
        <v>0.0</v>
      </c>
      <c r="I568" s="1" t="s">
        <v>16</v>
      </c>
      <c r="J568" s="1" t="s">
        <v>39</v>
      </c>
      <c r="K568" s="1" t="s">
        <v>18</v>
      </c>
      <c r="L568" s="1">
        <v>0.0</v>
      </c>
    </row>
    <row r="569">
      <c r="A569" s="1" t="s">
        <v>1166</v>
      </c>
      <c r="B569" s="1" t="s">
        <v>1167</v>
      </c>
      <c r="C569" s="2">
        <v>45002.0</v>
      </c>
      <c r="D569" s="1">
        <v>6.8938635E7</v>
      </c>
      <c r="E569" s="1" t="s">
        <v>47</v>
      </c>
      <c r="F569" s="1" t="s">
        <v>26</v>
      </c>
      <c r="G569" s="1">
        <v>127.0</v>
      </c>
      <c r="H569" s="1">
        <v>1.0</v>
      </c>
      <c r="I569" s="1" t="s">
        <v>34</v>
      </c>
      <c r="J569" s="1" t="s">
        <v>17</v>
      </c>
      <c r="K569" s="1" t="s">
        <v>18</v>
      </c>
      <c r="L569" s="1">
        <v>0.0</v>
      </c>
    </row>
    <row r="570">
      <c r="A570" s="1" t="s">
        <v>1168</v>
      </c>
      <c r="B570" s="1" t="s">
        <v>1169</v>
      </c>
      <c r="C570" s="2">
        <v>45270.0</v>
      </c>
      <c r="D570" s="1">
        <v>4.8520621E7</v>
      </c>
      <c r="E570" s="1" t="s">
        <v>25</v>
      </c>
      <c r="F570" s="1" t="s">
        <v>26</v>
      </c>
      <c r="G570" s="1">
        <v>179.0</v>
      </c>
      <c r="H570" s="1">
        <v>1.0</v>
      </c>
      <c r="I570" s="1" t="s">
        <v>34</v>
      </c>
      <c r="J570" s="1" t="s">
        <v>35</v>
      </c>
      <c r="K570" s="1" t="s">
        <v>44</v>
      </c>
      <c r="L570" s="1">
        <v>1.0</v>
      </c>
    </row>
    <row r="571">
      <c r="A571" s="1" t="s">
        <v>1170</v>
      </c>
      <c r="B571" s="1" t="s">
        <v>1171</v>
      </c>
      <c r="C571" s="2">
        <v>45125.0</v>
      </c>
      <c r="D571" s="1">
        <v>3.4814987E7</v>
      </c>
      <c r="E571" s="1" t="s">
        <v>25</v>
      </c>
      <c r="F571" s="1" t="s">
        <v>38</v>
      </c>
      <c r="G571" s="1">
        <v>37.0</v>
      </c>
      <c r="H571" s="1">
        <v>0.0</v>
      </c>
      <c r="I571" s="1" t="s">
        <v>16</v>
      </c>
      <c r="J571" s="1" t="s">
        <v>43</v>
      </c>
      <c r="K571" s="1" t="s">
        <v>30</v>
      </c>
      <c r="L571" s="1">
        <v>0.0</v>
      </c>
    </row>
    <row r="572">
      <c r="A572" s="1" t="s">
        <v>1172</v>
      </c>
      <c r="B572" s="1" t="s">
        <v>1173</v>
      </c>
      <c r="C572" s="2">
        <v>45223.0</v>
      </c>
      <c r="D572" s="1">
        <v>1.4077494E7</v>
      </c>
      <c r="E572" s="1" t="s">
        <v>25</v>
      </c>
      <c r="F572" s="1" t="s">
        <v>38</v>
      </c>
      <c r="G572" s="1">
        <v>39.0</v>
      </c>
      <c r="H572" s="1">
        <v>1.0</v>
      </c>
      <c r="I572" s="1" t="s">
        <v>34</v>
      </c>
      <c r="J572" s="1" t="s">
        <v>43</v>
      </c>
      <c r="K572" s="1" t="s">
        <v>18</v>
      </c>
      <c r="L572" s="1">
        <v>0.0</v>
      </c>
    </row>
    <row r="573">
      <c r="A573" s="1" t="s">
        <v>1174</v>
      </c>
      <c r="B573" s="1" t="s">
        <v>1175</v>
      </c>
      <c r="C573" s="2">
        <v>45115.0</v>
      </c>
      <c r="D573" s="1">
        <v>9.6620397E7</v>
      </c>
      <c r="E573" s="1" t="s">
        <v>14</v>
      </c>
      <c r="F573" s="1" t="s">
        <v>33</v>
      </c>
      <c r="G573" s="1">
        <v>47.0</v>
      </c>
      <c r="H573" s="1">
        <v>0.0</v>
      </c>
      <c r="I573" s="1" t="s">
        <v>21</v>
      </c>
      <c r="J573" s="1" t="s">
        <v>39</v>
      </c>
      <c r="K573" s="1" t="s">
        <v>18</v>
      </c>
      <c r="L573" s="1">
        <v>0.0</v>
      </c>
    </row>
    <row r="574">
      <c r="A574" s="1" t="s">
        <v>1176</v>
      </c>
      <c r="B574" s="1" t="s">
        <v>1177</v>
      </c>
      <c r="C574" s="2">
        <v>44963.0</v>
      </c>
      <c r="D574" s="1">
        <v>6.3400557E7</v>
      </c>
      <c r="E574" s="1" t="s">
        <v>25</v>
      </c>
      <c r="F574" s="1" t="s">
        <v>38</v>
      </c>
      <c r="G574" s="1">
        <v>97.0</v>
      </c>
      <c r="H574" s="1">
        <v>1.0</v>
      </c>
      <c r="I574" s="1" t="s">
        <v>16</v>
      </c>
      <c r="J574" s="1" t="s">
        <v>43</v>
      </c>
      <c r="K574" s="1" t="s">
        <v>18</v>
      </c>
      <c r="L574" s="1">
        <v>0.0</v>
      </c>
    </row>
    <row r="575">
      <c r="A575" s="1" t="s">
        <v>1178</v>
      </c>
      <c r="B575" s="1" t="s">
        <v>1179</v>
      </c>
      <c r="C575" s="2">
        <v>44989.0</v>
      </c>
      <c r="D575" s="1">
        <v>2.9423446E7</v>
      </c>
      <c r="E575" s="1" t="s">
        <v>25</v>
      </c>
      <c r="F575" s="1" t="s">
        <v>26</v>
      </c>
      <c r="G575" s="1">
        <v>42.0</v>
      </c>
      <c r="H575" s="1">
        <v>1.0</v>
      </c>
      <c r="I575" s="1" t="s">
        <v>16</v>
      </c>
      <c r="J575" s="1" t="s">
        <v>22</v>
      </c>
      <c r="K575" s="1" t="s">
        <v>44</v>
      </c>
      <c r="L575" s="1">
        <v>0.0</v>
      </c>
    </row>
    <row r="576">
      <c r="A576" s="1" t="s">
        <v>1180</v>
      </c>
      <c r="B576" s="1" t="s">
        <v>1181</v>
      </c>
      <c r="C576" s="2">
        <v>45245.0</v>
      </c>
      <c r="D576" s="1">
        <v>7.5664282E7</v>
      </c>
      <c r="E576" s="1" t="s">
        <v>25</v>
      </c>
      <c r="F576" s="1" t="s">
        <v>42</v>
      </c>
      <c r="G576" s="1">
        <v>87.0</v>
      </c>
      <c r="H576" s="1">
        <v>1.0</v>
      </c>
      <c r="I576" s="1" t="s">
        <v>34</v>
      </c>
      <c r="J576" s="1" t="s">
        <v>22</v>
      </c>
      <c r="K576" s="1" t="s">
        <v>18</v>
      </c>
      <c r="L576" s="1">
        <v>0.0</v>
      </c>
    </row>
    <row r="577">
      <c r="A577" s="1" t="s">
        <v>1182</v>
      </c>
      <c r="B577" s="1" t="s">
        <v>1183</v>
      </c>
      <c r="C577" s="2">
        <v>45003.0</v>
      </c>
      <c r="D577" s="1">
        <v>5.091153E7</v>
      </c>
      <c r="E577" s="1" t="s">
        <v>14</v>
      </c>
      <c r="F577" s="1" t="s">
        <v>26</v>
      </c>
      <c r="G577" s="1">
        <v>60.0</v>
      </c>
      <c r="H577" s="1">
        <v>1.0</v>
      </c>
      <c r="I577" s="1" t="s">
        <v>27</v>
      </c>
      <c r="J577" s="1" t="s">
        <v>39</v>
      </c>
      <c r="K577" s="1" t="s">
        <v>18</v>
      </c>
      <c r="L577" s="1">
        <v>0.0</v>
      </c>
    </row>
    <row r="578">
      <c r="A578" s="1" t="s">
        <v>1184</v>
      </c>
      <c r="B578" s="1" t="s">
        <v>1185</v>
      </c>
      <c r="C578" s="2">
        <v>44945.0</v>
      </c>
      <c r="D578" s="1">
        <v>7.871199E7</v>
      </c>
      <c r="E578" s="1" t="s">
        <v>25</v>
      </c>
      <c r="F578" s="1" t="s">
        <v>42</v>
      </c>
      <c r="G578" s="1">
        <v>111.0</v>
      </c>
      <c r="H578" s="1">
        <v>0.0</v>
      </c>
      <c r="I578" s="1" t="s">
        <v>21</v>
      </c>
      <c r="J578" s="1" t="s">
        <v>17</v>
      </c>
      <c r="K578" s="1" t="s">
        <v>18</v>
      </c>
      <c r="L578" s="1">
        <v>0.0</v>
      </c>
    </row>
    <row r="579">
      <c r="A579" s="1" t="s">
        <v>1186</v>
      </c>
      <c r="B579" s="1" t="s">
        <v>1187</v>
      </c>
      <c r="C579" s="2">
        <v>44928.0</v>
      </c>
      <c r="D579" s="1">
        <v>3.5182412E7</v>
      </c>
      <c r="E579" s="1" t="s">
        <v>25</v>
      </c>
      <c r="F579" s="1" t="s">
        <v>42</v>
      </c>
      <c r="G579" s="1">
        <v>40.0</v>
      </c>
      <c r="H579" s="1">
        <v>1.0</v>
      </c>
      <c r="I579" s="1" t="s">
        <v>21</v>
      </c>
      <c r="J579" s="1" t="s">
        <v>17</v>
      </c>
      <c r="K579" s="1" t="s">
        <v>44</v>
      </c>
      <c r="L579" s="1">
        <v>0.0</v>
      </c>
    </row>
    <row r="580">
      <c r="A580" s="1" t="s">
        <v>1188</v>
      </c>
      <c r="B580" s="1" t="s">
        <v>1189</v>
      </c>
      <c r="C580" s="2">
        <v>45139.0</v>
      </c>
      <c r="D580" s="1">
        <v>7.5003722E7</v>
      </c>
      <c r="E580" s="1" t="s">
        <v>47</v>
      </c>
      <c r="F580" s="1" t="s">
        <v>42</v>
      </c>
      <c r="G580" s="1">
        <v>104.0</v>
      </c>
      <c r="H580" s="1">
        <v>1.0</v>
      </c>
      <c r="I580" s="1" t="s">
        <v>34</v>
      </c>
      <c r="J580" s="1" t="s">
        <v>17</v>
      </c>
      <c r="K580" s="1" t="s">
        <v>18</v>
      </c>
      <c r="L580" s="1">
        <v>0.0</v>
      </c>
    </row>
    <row r="581">
      <c r="A581" s="1" t="s">
        <v>1190</v>
      </c>
      <c r="B581" s="1" t="s">
        <v>1191</v>
      </c>
      <c r="C581" s="2">
        <v>45132.0</v>
      </c>
      <c r="D581" s="1">
        <v>8.3177217E7</v>
      </c>
      <c r="E581" s="1" t="s">
        <v>25</v>
      </c>
      <c r="F581" s="1" t="s">
        <v>42</v>
      </c>
      <c r="G581" s="1">
        <v>70.0</v>
      </c>
      <c r="H581" s="1">
        <v>0.0</v>
      </c>
      <c r="I581" s="1" t="s">
        <v>21</v>
      </c>
      <c r="J581" s="1" t="s">
        <v>22</v>
      </c>
      <c r="K581" s="1" t="s">
        <v>44</v>
      </c>
      <c r="L581" s="1">
        <v>0.0</v>
      </c>
    </row>
    <row r="582">
      <c r="A582" s="1" t="s">
        <v>1192</v>
      </c>
      <c r="B582" s="1" t="s">
        <v>1193</v>
      </c>
      <c r="C582" s="2">
        <v>45017.0</v>
      </c>
      <c r="D582" s="1">
        <v>3.7949594E7</v>
      </c>
      <c r="E582" s="1" t="s">
        <v>25</v>
      </c>
      <c r="F582" s="1" t="s">
        <v>15</v>
      </c>
      <c r="G582" s="1">
        <v>98.0</v>
      </c>
      <c r="H582" s="1">
        <v>1.0</v>
      </c>
      <c r="I582" s="1" t="s">
        <v>21</v>
      </c>
      <c r="J582" s="1" t="s">
        <v>17</v>
      </c>
      <c r="K582" s="1" t="s">
        <v>44</v>
      </c>
      <c r="L582" s="1">
        <v>0.0</v>
      </c>
    </row>
    <row r="583">
      <c r="A583" s="1" t="s">
        <v>1194</v>
      </c>
      <c r="B583" s="1" t="s">
        <v>1195</v>
      </c>
      <c r="C583" s="2">
        <v>45039.0</v>
      </c>
      <c r="D583" s="1">
        <v>9.7196136E7</v>
      </c>
      <c r="E583" s="1" t="s">
        <v>47</v>
      </c>
      <c r="F583" s="1" t="s">
        <v>42</v>
      </c>
      <c r="G583" s="1">
        <v>153.0</v>
      </c>
      <c r="H583" s="1">
        <v>1.0</v>
      </c>
      <c r="I583" s="1" t="s">
        <v>27</v>
      </c>
      <c r="J583" s="1" t="s">
        <v>35</v>
      </c>
      <c r="K583" s="1" t="s">
        <v>18</v>
      </c>
      <c r="L583" s="1">
        <v>0.0</v>
      </c>
    </row>
    <row r="584">
      <c r="A584" s="1" t="s">
        <v>1196</v>
      </c>
      <c r="B584" s="1" t="s">
        <v>1197</v>
      </c>
      <c r="C584" s="2">
        <v>45034.0</v>
      </c>
      <c r="D584" s="1">
        <v>1.1980568E7</v>
      </c>
      <c r="E584" s="1" t="s">
        <v>47</v>
      </c>
      <c r="F584" s="1" t="s">
        <v>33</v>
      </c>
      <c r="G584" s="1">
        <v>104.0</v>
      </c>
      <c r="H584" s="1">
        <v>1.0</v>
      </c>
      <c r="I584" s="1" t="s">
        <v>34</v>
      </c>
      <c r="J584" s="1" t="s">
        <v>22</v>
      </c>
      <c r="K584" s="1" t="s">
        <v>18</v>
      </c>
      <c r="L584" s="1">
        <v>0.0</v>
      </c>
    </row>
    <row r="585">
      <c r="A585" s="1" t="s">
        <v>1198</v>
      </c>
      <c r="B585" s="1" t="s">
        <v>1199</v>
      </c>
      <c r="C585" s="2">
        <v>45076.0</v>
      </c>
      <c r="D585" s="1">
        <v>9.207079E7</v>
      </c>
      <c r="E585" s="1" t="s">
        <v>14</v>
      </c>
      <c r="F585" s="1" t="s">
        <v>38</v>
      </c>
      <c r="G585" s="1">
        <v>51.0</v>
      </c>
      <c r="H585" s="1">
        <v>1.0</v>
      </c>
      <c r="I585" s="1" t="s">
        <v>34</v>
      </c>
      <c r="J585" s="1" t="s">
        <v>22</v>
      </c>
      <c r="K585" s="1" t="s">
        <v>30</v>
      </c>
      <c r="L585" s="1">
        <v>0.0</v>
      </c>
    </row>
    <row r="586">
      <c r="A586" s="1" t="s">
        <v>1200</v>
      </c>
      <c r="B586" s="1" t="s">
        <v>1201</v>
      </c>
      <c r="C586" s="2">
        <v>45005.0</v>
      </c>
      <c r="D586" s="1">
        <v>5.6516449E7</v>
      </c>
      <c r="E586" s="1" t="s">
        <v>47</v>
      </c>
      <c r="F586" s="1" t="s">
        <v>15</v>
      </c>
      <c r="G586" s="1">
        <v>103.0</v>
      </c>
      <c r="H586" s="1">
        <v>1.0</v>
      </c>
      <c r="I586" s="1" t="s">
        <v>34</v>
      </c>
      <c r="J586" s="1" t="s">
        <v>22</v>
      </c>
      <c r="K586" s="1" t="s">
        <v>18</v>
      </c>
      <c r="L586" s="1">
        <v>0.0</v>
      </c>
    </row>
    <row r="587">
      <c r="A587" s="1" t="s">
        <v>1202</v>
      </c>
      <c r="B587" s="1" t="s">
        <v>1203</v>
      </c>
      <c r="C587" s="2">
        <v>45196.0</v>
      </c>
      <c r="D587" s="1">
        <v>7.9597852E7</v>
      </c>
      <c r="E587" s="1" t="s">
        <v>47</v>
      </c>
      <c r="F587" s="1" t="s">
        <v>42</v>
      </c>
      <c r="G587" s="1">
        <v>96.0</v>
      </c>
      <c r="H587" s="1">
        <v>0.0</v>
      </c>
      <c r="I587" s="1" t="s">
        <v>16</v>
      </c>
      <c r="J587" s="1" t="s">
        <v>43</v>
      </c>
      <c r="K587" s="1" t="s">
        <v>44</v>
      </c>
      <c r="L587" s="1">
        <v>0.0</v>
      </c>
    </row>
    <row r="588">
      <c r="A588" s="1" t="s">
        <v>1204</v>
      </c>
      <c r="B588" s="1" t="s">
        <v>1205</v>
      </c>
      <c r="C588" s="2">
        <v>44994.0</v>
      </c>
      <c r="D588" s="1">
        <v>3.6541539E7</v>
      </c>
      <c r="E588" s="1" t="s">
        <v>14</v>
      </c>
      <c r="F588" s="1" t="s">
        <v>33</v>
      </c>
      <c r="G588" s="1">
        <v>67.0</v>
      </c>
      <c r="H588" s="1">
        <v>1.0</v>
      </c>
      <c r="I588" s="1" t="s">
        <v>21</v>
      </c>
      <c r="J588" s="1" t="s">
        <v>35</v>
      </c>
      <c r="K588" s="1" t="s">
        <v>30</v>
      </c>
      <c r="L588" s="1">
        <v>0.0</v>
      </c>
    </row>
    <row r="589">
      <c r="A589" s="1" t="s">
        <v>1206</v>
      </c>
      <c r="B589" s="1" t="s">
        <v>1207</v>
      </c>
      <c r="C589" s="2">
        <v>45288.0</v>
      </c>
      <c r="D589" s="1">
        <v>2.7881941E7</v>
      </c>
      <c r="E589" s="1" t="s">
        <v>14</v>
      </c>
      <c r="F589" s="1" t="s">
        <v>33</v>
      </c>
      <c r="G589" s="1">
        <v>67.0</v>
      </c>
      <c r="H589" s="1">
        <v>1.0</v>
      </c>
      <c r="I589" s="1" t="s">
        <v>16</v>
      </c>
      <c r="J589" s="1" t="s">
        <v>39</v>
      </c>
      <c r="K589" s="1" t="s">
        <v>30</v>
      </c>
      <c r="L589" s="1">
        <v>0.0</v>
      </c>
    </row>
    <row r="590">
      <c r="A590" s="1" t="s">
        <v>1208</v>
      </c>
      <c r="B590" s="1" t="s">
        <v>1209</v>
      </c>
      <c r="C590" s="2">
        <v>45188.0</v>
      </c>
      <c r="D590" s="1">
        <v>3.9150745E7</v>
      </c>
      <c r="E590" s="1" t="s">
        <v>47</v>
      </c>
      <c r="F590" s="1" t="s">
        <v>26</v>
      </c>
      <c r="G590" s="1">
        <v>83.0</v>
      </c>
      <c r="H590" s="1">
        <v>1.0</v>
      </c>
      <c r="I590" s="1" t="s">
        <v>27</v>
      </c>
      <c r="J590" s="1" t="s">
        <v>39</v>
      </c>
      <c r="K590" s="1" t="s">
        <v>44</v>
      </c>
      <c r="L590" s="1">
        <v>1.0</v>
      </c>
    </row>
    <row r="591">
      <c r="A591" s="1" t="s">
        <v>1210</v>
      </c>
      <c r="B591" s="1" t="s">
        <v>1211</v>
      </c>
      <c r="C591" s="2">
        <v>44953.0</v>
      </c>
      <c r="D591" s="1">
        <v>3.3885476E7</v>
      </c>
      <c r="E591" s="1" t="s">
        <v>25</v>
      </c>
      <c r="F591" s="1" t="s">
        <v>26</v>
      </c>
      <c r="G591" s="1">
        <v>111.0</v>
      </c>
      <c r="H591" s="1">
        <v>0.0</v>
      </c>
      <c r="I591" s="1" t="s">
        <v>27</v>
      </c>
      <c r="J591" s="1" t="s">
        <v>39</v>
      </c>
      <c r="K591" s="1" t="s">
        <v>44</v>
      </c>
      <c r="L591" s="1">
        <v>0.0</v>
      </c>
    </row>
    <row r="592">
      <c r="A592" s="1" t="s">
        <v>1212</v>
      </c>
      <c r="B592" s="1" t="s">
        <v>1213</v>
      </c>
      <c r="C592" s="2">
        <v>45118.0</v>
      </c>
      <c r="D592" s="1">
        <v>3.7168544E7</v>
      </c>
      <c r="E592" s="1" t="s">
        <v>47</v>
      </c>
      <c r="F592" s="1" t="s">
        <v>38</v>
      </c>
      <c r="G592" s="1">
        <v>163.0</v>
      </c>
      <c r="H592" s="1">
        <v>0.0</v>
      </c>
      <c r="I592" s="1" t="s">
        <v>27</v>
      </c>
      <c r="J592" s="1" t="s">
        <v>43</v>
      </c>
      <c r="K592" s="1" t="s">
        <v>30</v>
      </c>
      <c r="L592" s="1">
        <v>0.0</v>
      </c>
    </row>
    <row r="593">
      <c r="A593" s="1" t="s">
        <v>1214</v>
      </c>
      <c r="B593" s="1" t="s">
        <v>1215</v>
      </c>
      <c r="C593" s="2">
        <v>45164.0</v>
      </c>
      <c r="D593" s="1">
        <v>2.8244219E7</v>
      </c>
      <c r="E593" s="1" t="s">
        <v>14</v>
      </c>
      <c r="F593" s="1" t="s">
        <v>42</v>
      </c>
      <c r="G593" s="1">
        <v>96.0</v>
      </c>
      <c r="H593" s="1">
        <v>1.0</v>
      </c>
      <c r="I593" s="1" t="s">
        <v>21</v>
      </c>
      <c r="J593" s="1" t="s">
        <v>43</v>
      </c>
      <c r="K593" s="1" t="s">
        <v>18</v>
      </c>
      <c r="L593" s="1">
        <v>0.0</v>
      </c>
    </row>
    <row r="594">
      <c r="A594" s="1" t="s">
        <v>1216</v>
      </c>
      <c r="B594" s="1" t="s">
        <v>1217</v>
      </c>
      <c r="C594" s="2">
        <v>44940.0</v>
      </c>
      <c r="D594" s="1">
        <v>8.4169532E7</v>
      </c>
      <c r="E594" s="1" t="s">
        <v>47</v>
      </c>
      <c r="F594" s="1" t="s">
        <v>42</v>
      </c>
      <c r="G594" s="1">
        <v>56.0</v>
      </c>
      <c r="H594" s="1">
        <v>1.0</v>
      </c>
      <c r="I594" s="1" t="s">
        <v>21</v>
      </c>
      <c r="J594" s="1" t="s">
        <v>35</v>
      </c>
      <c r="K594" s="1" t="s">
        <v>44</v>
      </c>
      <c r="L594" s="1">
        <v>0.0</v>
      </c>
    </row>
    <row r="595">
      <c r="A595" s="1" t="s">
        <v>1218</v>
      </c>
      <c r="B595" s="1" t="s">
        <v>1219</v>
      </c>
      <c r="C595" s="2">
        <v>45228.0</v>
      </c>
      <c r="D595" s="1">
        <v>1.3019051E7</v>
      </c>
      <c r="E595" s="1" t="s">
        <v>14</v>
      </c>
      <c r="F595" s="1" t="s">
        <v>38</v>
      </c>
      <c r="G595" s="1">
        <v>9.0</v>
      </c>
      <c r="H595" s="1">
        <v>1.0</v>
      </c>
      <c r="I595" s="1" t="s">
        <v>34</v>
      </c>
      <c r="J595" s="1" t="s">
        <v>22</v>
      </c>
      <c r="K595" s="1" t="s">
        <v>44</v>
      </c>
      <c r="L595" s="1">
        <v>0.0</v>
      </c>
    </row>
    <row r="596">
      <c r="A596" s="1" t="s">
        <v>1220</v>
      </c>
      <c r="B596" s="1" t="s">
        <v>1221</v>
      </c>
      <c r="C596" s="2">
        <v>44983.0</v>
      </c>
      <c r="D596" s="1">
        <v>7.539156E7</v>
      </c>
      <c r="E596" s="1" t="s">
        <v>25</v>
      </c>
      <c r="F596" s="1" t="s">
        <v>33</v>
      </c>
      <c r="G596" s="1">
        <v>139.0</v>
      </c>
      <c r="H596" s="1">
        <v>1.0</v>
      </c>
      <c r="I596" s="1" t="s">
        <v>16</v>
      </c>
      <c r="J596" s="1" t="s">
        <v>17</v>
      </c>
      <c r="K596" s="1" t="s">
        <v>18</v>
      </c>
      <c r="L596" s="1">
        <v>0.0</v>
      </c>
    </row>
    <row r="597">
      <c r="A597" s="1" t="s">
        <v>1222</v>
      </c>
      <c r="B597" s="1" t="s">
        <v>1223</v>
      </c>
      <c r="C597" s="2">
        <v>44985.0</v>
      </c>
      <c r="D597" s="1">
        <v>7279768.0</v>
      </c>
      <c r="E597" s="1" t="s">
        <v>14</v>
      </c>
      <c r="F597" s="1" t="s">
        <v>38</v>
      </c>
      <c r="G597" s="1">
        <v>46.0</v>
      </c>
      <c r="H597" s="1">
        <v>0.0</v>
      </c>
      <c r="I597" s="1" t="s">
        <v>21</v>
      </c>
      <c r="J597" s="1" t="s">
        <v>39</v>
      </c>
      <c r="K597" s="1" t="s">
        <v>18</v>
      </c>
      <c r="L597" s="1">
        <v>0.0</v>
      </c>
    </row>
    <row r="598">
      <c r="A598" s="1" t="s">
        <v>1224</v>
      </c>
      <c r="B598" s="1" t="s">
        <v>1225</v>
      </c>
      <c r="C598" s="2">
        <v>44944.0</v>
      </c>
      <c r="D598" s="1">
        <v>5.62256E7</v>
      </c>
      <c r="E598" s="1" t="s">
        <v>47</v>
      </c>
      <c r="F598" s="1" t="s">
        <v>33</v>
      </c>
      <c r="G598" s="1">
        <v>8.0</v>
      </c>
      <c r="H598" s="1">
        <v>1.0</v>
      </c>
      <c r="I598" s="1" t="s">
        <v>16</v>
      </c>
      <c r="J598" s="1" t="s">
        <v>39</v>
      </c>
      <c r="K598" s="1" t="s">
        <v>18</v>
      </c>
      <c r="L598" s="1">
        <v>0.0</v>
      </c>
    </row>
    <row r="599">
      <c r="A599" s="1" t="s">
        <v>1226</v>
      </c>
      <c r="B599" s="1" t="s">
        <v>1227</v>
      </c>
      <c r="C599" s="2">
        <v>45141.0</v>
      </c>
      <c r="D599" s="1">
        <v>3.0302235E7</v>
      </c>
      <c r="E599" s="1" t="s">
        <v>14</v>
      </c>
      <c r="F599" s="1" t="s">
        <v>15</v>
      </c>
      <c r="G599" s="1">
        <v>172.0</v>
      </c>
      <c r="H599" s="1">
        <v>1.0</v>
      </c>
      <c r="I599" s="1" t="s">
        <v>21</v>
      </c>
      <c r="J599" s="1" t="s">
        <v>43</v>
      </c>
      <c r="K599" s="1" t="s">
        <v>18</v>
      </c>
      <c r="L599" s="1">
        <v>0.0</v>
      </c>
    </row>
    <row r="600">
      <c r="A600" s="1" t="s">
        <v>1228</v>
      </c>
      <c r="B600" s="1" t="s">
        <v>1229</v>
      </c>
      <c r="C600" s="2">
        <v>45278.0</v>
      </c>
      <c r="D600" s="1">
        <v>1.9387338E7</v>
      </c>
      <c r="E600" s="1" t="s">
        <v>25</v>
      </c>
      <c r="F600" s="1" t="s">
        <v>38</v>
      </c>
      <c r="G600" s="1">
        <v>105.0</v>
      </c>
      <c r="H600" s="1">
        <v>1.0</v>
      </c>
      <c r="I600" s="1" t="s">
        <v>21</v>
      </c>
      <c r="J600" s="1" t="s">
        <v>17</v>
      </c>
      <c r="K600" s="1" t="s">
        <v>30</v>
      </c>
      <c r="L600" s="1">
        <v>0.0</v>
      </c>
    </row>
    <row r="601">
      <c r="A601" s="1" t="s">
        <v>1230</v>
      </c>
      <c r="B601" s="1" t="s">
        <v>1231</v>
      </c>
      <c r="C601" s="2">
        <v>45147.0</v>
      </c>
      <c r="D601" s="1">
        <v>9.913121E7</v>
      </c>
      <c r="E601" s="1" t="s">
        <v>47</v>
      </c>
      <c r="F601" s="1" t="s">
        <v>42</v>
      </c>
      <c r="G601" s="1">
        <v>160.0</v>
      </c>
      <c r="H601" s="1">
        <v>1.0</v>
      </c>
      <c r="I601" s="1" t="s">
        <v>27</v>
      </c>
      <c r="J601" s="1" t="s">
        <v>43</v>
      </c>
      <c r="K601" s="1" t="s">
        <v>18</v>
      </c>
      <c r="L6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88"/>
    <col customWidth="1" min="7" max="7" width="16.25"/>
    <col customWidth="1" min="11" max="11" width="14.0"/>
    <col customWidth="1" min="20" max="20" width="16.25"/>
    <col customWidth="1" min="21" max="21" width="50.0"/>
  </cols>
  <sheetData>
    <row r="1" ht="33.75" customHeigh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1232</v>
      </c>
    </row>
    <row r="2">
      <c r="A2" s="5" t="str">
        <f>IFERROR(__xludf.DUMMYFUNCTION("ARRAYFORMULA(
  LET(
    mask, LEN('Raw Data'!A2:A1000),
    uid,   FILTER(TRIM('Raw Data'!A2:A1000), mask),
    sid,   FILTER(TRIM('Raw Data'!B2:B1000), mask),
    sdate, FILTER(TO_DATE(VALUE('Raw Data'!C2:C1000)), mask),
    cid,   FILTER('Raw Data'!D2:"&amp;"D1000, mask),
    ctype, FILTER(UPPER(TRIM('Raw Data'!E2:E1000)), mask),
    genr,  FILTER(PROPER(TRIM('Raw Data'!F2:F1000)), mask),
    mins,  FILTER(VALUE('Raw Data'!G2:G1000), mask),
    compl, FILTER(IF('Raw Data'!H2:H1000&gt;=1,1,0), mask),
    dev,   F"&amp;"ILTER(PROPER(TRIM('Raw Data'!I2:I1000)), mask),
    cntr,  FILTER(PROPER(TRIM('Raw Data'!J2:J1000)), mask),
    plan,  FILTER(PROPER(TRIM('Raw Data'!K2:K1000)), mask),
    churn, FILTER(IF('Raw Data'!L2:L1000&gt;=1,1,0), mask),
    month, TEXT(sdate,""yyyy-m"&amp;"m""),
    tbl,   HSTACK(uid,sid,sdate,cid,ctype,genr,mins,compl,dev,cntr,plan,churn,month),
    SORTN(tbl, 9^9, 2, 2, TRUE)
  )
)"),"d80b9ba8-a001-4df0-a0c3-4a55f4ade208")</f>
        <v>d80b9ba8-a001-4df0-a0c3-4a55f4ade208</v>
      </c>
      <c r="B2" s="6" t="str">
        <f>IFERROR(__xludf.DUMMYFUNCTION("""COMPUTED_VALUE"""),"00295d34-b264-43d5-990e-b9ee9478c1d4")</f>
        <v>00295d34-b264-43d5-990e-b9ee9478c1d4</v>
      </c>
      <c r="C2" s="7">
        <f>IFERROR(__xludf.DUMMYFUNCTION("""COMPUTED_VALUE"""),44969.0)</f>
        <v>44969</v>
      </c>
      <c r="D2" s="8">
        <f>IFERROR(__xludf.DUMMYFUNCTION("""COMPUTED_VALUE"""),1.891995E7)</f>
        <v>18919950</v>
      </c>
      <c r="E2" s="6" t="str">
        <f>IFERROR(__xludf.DUMMYFUNCTION("""COMPUTED_VALUE"""),"MOVIE")</f>
        <v>MOVIE</v>
      </c>
      <c r="F2" s="6" t="str">
        <f>IFERROR(__xludf.DUMMYFUNCTION("""COMPUTED_VALUE"""),"Thriller")</f>
        <v>Thriller</v>
      </c>
      <c r="G2" s="6">
        <f>IFERROR(__xludf.DUMMYFUNCTION("""COMPUTED_VALUE"""),23.0)</f>
        <v>23</v>
      </c>
      <c r="H2" s="6">
        <f>IFERROR(__xludf.DUMMYFUNCTION("""COMPUTED_VALUE"""),0.0)</f>
        <v>0</v>
      </c>
      <c r="I2" s="6" t="str">
        <f>IFERROR(__xludf.DUMMYFUNCTION("""COMPUTED_VALUE"""),"Desktop")</f>
        <v>Desktop</v>
      </c>
      <c r="J2" s="6" t="str">
        <f>IFERROR(__xludf.DUMMYFUNCTION("""COMPUTED_VALUE"""),"Usa")</f>
        <v>Usa</v>
      </c>
      <c r="K2" s="6" t="str">
        <f>IFERROR(__xludf.DUMMYFUNCTION("""COMPUTED_VALUE"""),"Standard")</f>
        <v>Standard</v>
      </c>
      <c r="L2" s="6">
        <f>IFERROR(__xludf.DUMMYFUNCTION("""COMPUTED_VALUE"""),0.0)</f>
        <v>0</v>
      </c>
      <c r="M2" s="6" t="str">
        <f>IFERROR(__xludf.DUMMYFUNCTION("""COMPUTED_VALUE"""),"2023-02")</f>
        <v>2023-02</v>
      </c>
      <c r="O2" s="9" t="str">
        <f>IFERROR(__xludf.DUMMYFUNCTION("QUERY(A1:M1000, ""select F, count(B) where F is not null group by F order by count(B) desc label count(B) 'sessions'"", 1)"),"genre")</f>
        <v>genre</v>
      </c>
      <c r="P2" s="9" t="str">
        <f>IFERROR(__xludf.DUMMYFUNCTION("""COMPUTED_VALUE"""),"sessions")</f>
        <v>sessions</v>
      </c>
      <c r="S2" s="9" t="str">
        <f>IFERROR(__xludf.DUMMYFUNCTION("QUERY(A1:M1000, ""select M, sum(G) where M is not null group by M order by M label sum(G) 'total_watch_minutes'"", 1)"),"month")</f>
        <v>month</v>
      </c>
      <c r="T2" s="9" t="str">
        <f>IFERROR(__xludf.DUMMYFUNCTION("""COMPUTED_VALUE"""),"total_watch_minutes")</f>
        <v>total_watch_minutes</v>
      </c>
    </row>
    <row r="3">
      <c r="A3" s="6" t="str">
        <f>IFERROR(__xludf.DUMMYFUNCTION("""COMPUTED_VALUE"""),"03ed8da8-a35d-4f4e-abe5-7d814dc59d0e")</f>
        <v>03ed8da8-a35d-4f4e-abe5-7d814dc59d0e</v>
      </c>
      <c r="B3" s="6" t="str">
        <f>IFERROR(__xludf.DUMMYFUNCTION("""COMPUTED_VALUE"""),"008cd7aa-0166-40b7-b02f-ee43ee908ba1")</f>
        <v>008cd7aa-0166-40b7-b02f-ee43ee908ba1</v>
      </c>
      <c r="C3" s="7">
        <f>IFERROR(__xludf.DUMMYFUNCTION("""COMPUTED_VALUE"""),44961.0)</f>
        <v>44961</v>
      </c>
      <c r="D3" s="8">
        <f>IFERROR(__xludf.DUMMYFUNCTION("""COMPUTED_VALUE"""),9.4253771E7)</f>
        <v>94253771</v>
      </c>
      <c r="E3" s="6" t="str">
        <f>IFERROR(__xludf.DUMMYFUNCTION("""COMPUTED_VALUE"""),"DOCUMENTARY")</f>
        <v>DOCUMENTARY</v>
      </c>
      <c r="F3" s="6" t="str">
        <f>IFERROR(__xludf.DUMMYFUNCTION("""COMPUTED_VALUE"""),"Thriller")</f>
        <v>Thriller</v>
      </c>
      <c r="G3" s="6">
        <f>IFERROR(__xludf.DUMMYFUNCTION("""COMPUTED_VALUE"""),5.0)</f>
        <v>5</v>
      </c>
      <c r="H3" s="6">
        <f>IFERROR(__xludf.DUMMYFUNCTION("""COMPUTED_VALUE"""),1.0)</f>
        <v>1</v>
      </c>
      <c r="I3" s="6" t="str">
        <f>IFERROR(__xludf.DUMMYFUNCTION("""COMPUTED_VALUE"""),"Mobile")</f>
        <v>Mobile</v>
      </c>
      <c r="J3" s="6" t="str">
        <f>IFERROR(__xludf.DUMMYFUNCTION("""COMPUTED_VALUE"""),"Usa")</f>
        <v>Usa</v>
      </c>
      <c r="K3" s="6" t="str">
        <f>IFERROR(__xludf.DUMMYFUNCTION("""COMPUTED_VALUE"""),"Premium")</f>
        <v>Premium</v>
      </c>
      <c r="L3" s="6">
        <f>IFERROR(__xludf.DUMMYFUNCTION("""COMPUTED_VALUE"""),0.0)</f>
        <v>0</v>
      </c>
      <c r="M3" s="6" t="str">
        <f>IFERROR(__xludf.DUMMYFUNCTION("""COMPUTED_VALUE"""),"2023-02")</f>
        <v>2023-02</v>
      </c>
      <c r="O3" s="6" t="str">
        <f>IFERROR(__xludf.DUMMYFUNCTION("""COMPUTED_VALUE"""),"Thriller")</f>
        <v>Thriller</v>
      </c>
      <c r="P3" s="6">
        <f>IFERROR(__xludf.DUMMYFUNCTION("""COMPUTED_VALUE"""),124.0)</f>
        <v>124</v>
      </c>
      <c r="S3" s="6" t="str">
        <f>IFERROR(__xludf.DUMMYFUNCTION("""COMPUTED_VALUE"""),"2023-01")</f>
        <v>2023-01</v>
      </c>
      <c r="T3" s="6">
        <f>IFERROR(__xludf.DUMMYFUNCTION("""COMPUTED_VALUE"""),5132.0)</f>
        <v>5132</v>
      </c>
      <c r="U3" s="10" t="s">
        <v>1233</v>
      </c>
    </row>
    <row r="4">
      <c r="A4" s="6" t="str">
        <f>IFERROR(__xludf.DUMMYFUNCTION("""COMPUTED_VALUE"""),"7cde58cd-cbda-448e-97f7-7ef92ae3f2f7")</f>
        <v>7cde58cd-cbda-448e-97f7-7ef92ae3f2f7</v>
      </c>
      <c r="B4" s="6" t="str">
        <f>IFERROR(__xludf.DUMMYFUNCTION("""COMPUTED_VALUE"""),"00e1fe1e-b901-4b7f-b230-b5339f6ed851")</f>
        <v>00e1fe1e-b901-4b7f-b230-b5339f6ed851</v>
      </c>
      <c r="C4" s="7">
        <f>IFERROR(__xludf.DUMMYFUNCTION("""COMPUTED_VALUE"""),45046.0)</f>
        <v>45046</v>
      </c>
      <c r="D4" s="8">
        <f>IFERROR(__xludf.DUMMYFUNCTION("""COMPUTED_VALUE"""),4.0150765E7)</f>
        <v>40150765</v>
      </c>
      <c r="E4" s="6" t="str">
        <f>IFERROR(__xludf.DUMMYFUNCTION("""COMPUTED_VALUE"""),"DOCUMENTARY")</f>
        <v>DOCUMENTARY</v>
      </c>
      <c r="F4" s="6" t="str">
        <f>IFERROR(__xludf.DUMMYFUNCTION("""COMPUTED_VALUE"""),"Action")</f>
        <v>Action</v>
      </c>
      <c r="G4" s="6">
        <f>IFERROR(__xludf.DUMMYFUNCTION("""COMPUTED_VALUE"""),81.0)</f>
        <v>81</v>
      </c>
      <c r="H4" s="6">
        <f>IFERROR(__xludf.DUMMYFUNCTION("""COMPUTED_VALUE"""),0.0)</f>
        <v>0</v>
      </c>
      <c r="I4" s="6" t="str">
        <f>IFERROR(__xludf.DUMMYFUNCTION("""COMPUTED_VALUE"""),"Tablet")</f>
        <v>Tablet</v>
      </c>
      <c r="J4" s="6" t="str">
        <f>IFERROR(__xludf.DUMMYFUNCTION("""COMPUTED_VALUE"""),"France")</f>
        <v>France</v>
      </c>
      <c r="K4" s="6" t="str">
        <f>IFERROR(__xludf.DUMMYFUNCTION("""COMPUTED_VALUE"""),"Premium")</f>
        <v>Premium</v>
      </c>
      <c r="L4" s="6">
        <f>IFERROR(__xludf.DUMMYFUNCTION("""COMPUTED_VALUE"""),0.0)</f>
        <v>0</v>
      </c>
      <c r="M4" s="6" t="str">
        <f>IFERROR(__xludf.DUMMYFUNCTION("""COMPUTED_VALUE"""),"2023-04")</f>
        <v>2023-04</v>
      </c>
      <c r="O4" s="6" t="str">
        <f>IFERROR(__xludf.DUMMYFUNCTION("""COMPUTED_VALUE"""),"Action")</f>
        <v>Action</v>
      </c>
      <c r="P4" s="6">
        <f>IFERROR(__xludf.DUMMYFUNCTION("""COMPUTED_VALUE"""),121.0)</f>
        <v>121</v>
      </c>
      <c r="S4" s="6" t="str">
        <f>IFERROR(__xludf.DUMMYFUNCTION("""COMPUTED_VALUE"""),"2023-02")</f>
        <v>2023-02</v>
      </c>
      <c r="T4" s="6">
        <f>IFERROR(__xludf.DUMMYFUNCTION("""COMPUTED_VALUE"""),4199.0)</f>
        <v>4199</v>
      </c>
    </row>
    <row r="5">
      <c r="A5" s="6" t="str">
        <f>IFERROR(__xludf.DUMMYFUNCTION("""COMPUTED_VALUE"""),"992c2bc2-9a7a-404f-a2d2-1847d5183bae")</f>
        <v>992c2bc2-9a7a-404f-a2d2-1847d5183bae</v>
      </c>
      <c r="B5" s="6" t="str">
        <f>IFERROR(__xludf.DUMMYFUNCTION("""COMPUTED_VALUE"""),"0217f0a3-3096-445e-a061-ddc6765dfe41")</f>
        <v>0217f0a3-3096-445e-a061-ddc6765dfe41</v>
      </c>
      <c r="C5" s="7">
        <f>IFERROR(__xludf.DUMMYFUNCTION("""COMPUTED_VALUE"""),44963.0)</f>
        <v>44963</v>
      </c>
      <c r="D5" s="8">
        <f>IFERROR(__xludf.DUMMYFUNCTION("""COMPUTED_VALUE"""),6.3400557E7)</f>
        <v>63400557</v>
      </c>
      <c r="E5" s="6" t="str">
        <f>IFERROR(__xludf.DUMMYFUNCTION("""COMPUTED_VALUE"""),"MOVIE")</f>
        <v>MOVIE</v>
      </c>
      <c r="F5" s="6" t="str">
        <f>IFERROR(__xludf.DUMMYFUNCTION("""COMPUTED_VALUE"""),"Sci-Fi")</f>
        <v>Sci-Fi</v>
      </c>
      <c r="G5" s="6">
        <f>IFERROR(__xludf.DUMMYFUNCTION("""COMPUTED_VALUE"""),97.0)</f>
        <v>97</v>
      </c>
      <c r="H5" s="6">
        <f>IFERROR(__xludf.DUMMYFUNCTION("""COMPUTED_VALUE"""),1.0)</f>
        <v>1</v>
      </c>
      <c r="I5" s="6" t="str">
        <f>IFERROR(__xludf.DUMMYFUNCTION("""COMPUTED_VALUE"""),"Smart Tv")</f>
        <v>Smart Tv</v>
      </c>
      <c r="J5" s="6" t="str">
        <f>IFERROR(__xludf.DUMMYFUNCTION("""COMPUTED_VALUE"""),"Germany")</f>
        <v>Germany</v>
      </c>
      <c r="K5" s="6" t="str">
        <f>IFERROR(__xludf.DUMMYFUNCTION("""COMPUTED_VALUE"""),"Standard")</f>
        <v>Standard</v>
      </c>
      <c r="L5" s="6">
        <f>IFERROR(__xludf.DUMMYFUNCTION("""COMPUTED_VALUE"""),0.0)</f>
        <v>0</v>
      </c>
      <c r="M5" s="6" t="str">
        <f>IFERROR(__xludf.DUMMYFUNCTION("""COMPUTED_VALUE"""),"2023-02")</f>
        <v>2023-02</v>
      </c>
      <c r="O5" s="6" t="str">
        <f>IFERROR(__xludf.DUMMYFUNCTION("""COMPUTED_VALUE"""),"Comedy")</f>
        <v>Comedy</v>
      </c>
      <c r="P5" s="6">
        <f>IFERROR(__xludf.DUMMYFUNCTION("""COMPUTED_VALUE"""),119.0)</f>
        <v>119</v>
      </c>
      <c r="S5" s="6" t="str">
        <f>IFERROR(__xludf.DUMMYFUNCTION("""COMPUTED_VALUE"""),"2023-03")</f>
        <v>2023-03</v>
      </c>
      <c r="T5" s="6">
        <f>IFERROR(__xludf.DUMMYFUNCTION("""COMPUTED_VALUE"""),5396.0)</f>
        <v>5396</v>
      </c>
    </row>
    <row r="6">
      <c r="A6" s="6" t="str">
        <f>IFERROR(__xludf.DUMMYFUNCTION("""COMPUTED_VALUE"""),"bba16224-4663-4bff-b0df-50beb8c9a6d3")</f>
        <v>bba16224-4663-4bff-b0df-50beb8c9a6d3</v>
      </c>
      <c r="B6" s="6" t="str">
        <f>IFERROR(__xludf.DUMMYFUNCTION("""COMPUTED_VALUE"""),"021953d2-92d3-4b9b-b631-9fecb0708e82")</f>
        <v>021953d2-92d3-4b9b-b631-9fecb0708e82</v>
      </c>
      <c r="C6" s="7">
        <f>IFERROR(__xludf.DUMMYFUNCTION("""COMPUTED_VALUE"""),45164.0)</f>
        <v>45164</v>
      </c>
      <c r="D6" s="8">
        <f>IFERROR(__xludf.DUMMYFUNCTION("""COMPUTED_VALUE"""),1.1295143E7)</f>
        <v>11295143</v>
      </c>
      <c r="E6" s="6" t="str">
        <f>IFERROR(__xludf.DUMMYFUNCTION("""COMPUTED_VALUE"""),"DOCUMENTARY")</f>
        <v>DOCUMENTARY</v>
      </c>
      <c r="F6" s="6" t="str">
        <f>IFERROR(__xludf.DUMMYFUNCTION("""COMPUTED_VALUE"""),"Drama")</f>
        <v>Drama</v>
      </c>
      <c r="G6" s="6">
        <f>IFERROR(__xludf.DUMMYFUNCTION("""COMPUTED_VALUE"""),18.0)</f>
        <v>18</v>
      </c>
      <c r="H6" s="6">
        <f>IFERROR(__xludf.DUMMYFUNCTION("""COMPUTED_VALUE"""),1.0)</f>
        <v>1</v>
      </c>
      <c r="I6" s="6" t="str">
        <f>IFERROR(__xludf.DUMMYFUNCTION("""COMPUTED_VALUE"""),"Desktop")</f>
        <v>Desktop</v>
      </c>
      <c r="J6" s="6" t="str">
        <f>IFERROR(__xludf.DUMMYFUNCTION("""COMPUTED_VALUE"""),"Usa")</f>
        <v>Usa</v>
      </c>
      <c r="K6" s="6" t="str">
        <f>IFERROR(__xludf.DUMMYFUNCTION("""COMPUTED_VALUE"""),"Premium")</f>
        <v>Premium</v>
      </c>
      <c r="L6" s="6">
        <f>IFERROR(__xludf.DUMMYFUNCTION("""COMPUTED_VALUE"""),0.0)</f>
        <v>0</v>
      </c>
      <c r="M6" s="6" t="str">
        <f>IFERROR(__xludf.DUMMYFUNCTION("""COMPUTED_VALUE"""),"2023-08")</f>
        <v>2023-08</v>
      </c>
      <c r="O6" s="6" t="str">
        <f>IFERROR(__xludf.DUMMYFUNCTION("""COMPUTED_VALUE"""),"Drama")</f>
        <v>Drama</v>
      </c>
      <c r="P6" s="6">
        <f>IFERROR(__xludf.DUMMYFUNCTION("""COMPUTED_VALUE"""),118.0)</f>
        <v>118</v>
      </c>
      <c r="S6" s="6" t="str">
        <f>IFERROR(__xludf.DUMMYFUNCTION("""COMPUTED_VALUE"""),"2023-04")</f>
        <v>2023-04</v>
      </c>
      <c r="T6" s="6">
        <f>IFERROR(__xludf.DUMMYFUNCTION("""COMPUTED_VALUE"""),4384.0)</f>
        <v>4384</v>
      </c>
    </row>
    <row r="7">
      <c r="A7" s="6" t="str">
        <f>IFERROR(__xludf.DUMMYFUNCTION("""COMPUTED_VALUE"""),"b3504b38-e3ff-4b8c-87c8-24e4408c58f9")</f>
        <v>b3504b38-e3ff-4b8c-87c8-24e4408c58f9</v>
      </c>
      <c r="B7" s="6" t="str">
        <f>IFERROR(__xludf.DUMMYFUNCTION("""COMPUTED_VALUE"""),"021a5a10-cede-48a9-9498-ae4d578c2f3f")</f>
        <v>021a5a10-cede-48a9-9498-ae4d578c2f3f</v>
      </c>
      <c r="C7" s="7">
        <f>IFERROR(__xludf.DUMMYFUNCTION("""COMPUTED_VALUE"""),45150.0)</f>
        <v>45150</v>
      </c>
      <c r="D7" s="8">
        <f>IFERROR(__xludf.DUMMYFUNCTION("""COMPUTED_VALUE"""),2.936196E7)</f>
        <v>29361960</v>
      </c>
      <c r="E7" s="6" t="str">
        <f>IFERROR(__xludf.DUMMYFUNCTION("""COMPUTED_VALUE"""),"SERIES")</f>
        <v>SERIES</v>
      </c>
      <c r="F7" s="6" t="str">
        <f>IFERROR(__xludf.DUMMYFUNCTION("""COMPUTED_VALUE"""),"Thriller")</f>
        <v>Thriller</v>
      </c>
      <c r="G7" s="6">
        <f>IFERROR(__xludf.DUMMYFUNCTION("""COMPUTED_VALUE"""),50.0)</f>
        <v>50</v>
      </c>
      <c r="H7" s="6">
        <f>IFERROR(__xludf.DUMMYFUNCTION("""COMPUTED_VALUE"""),1.0)</f>
        <v>1</v>
      </c>
      <c r="I7" s="6" t="str">
        <f>IFERROR(__xludf.DUMMYFUNCTION("""COMPUTED_VALUE"""),"Desktop")</f>
        <v>Desktop</v>
      </c>
      <c r="J7" s="6" t="str">
        <f>IFERROR(__xludf.DUMMYFUNCTION("""COMPUTED_VALUE"""),"Usa")</f>
        <v>Usa</v>
      </c>
      <c r="K7" s="6" t="str">
        <f>IFERROR(__xludf.DUMMYFUNCTION("""COMPUTED_VALUE"""),"Basic")</f>
        <v>Basic</v>
      </c>
      <c r="L7" s="6">
        <f>IFERROR(__xludf.DUMMYFUNCTION("""COMPUTED_VALUE"""),0.0)</f>
        <v>0</v>
      </c>
      <c r="M7" s="6" t="str">
        <f>IFERROR(__xludf.DUMMYFUNCTION("""COMPUTED_VALUE"""),"2023-08")</f>
        <v>2023-08</v>
      </c>
      <c r="O7" s="6" t="str">
        <f>IFERROR(__xludf.DUMMYFUNCTION("""COMPUTED_VALUE"""),"Sci-Fi")</f>
        <v>Sci-Fi</v>
      </c>
      <c r="P7" s="6">
        <f>IFERROR(__xludf.DUMMYFUNCTION("""COMPUTED_VALUE"""),118.0)</f>
        <v>118</v>
      </c>
      <c r="S7" s="6" t="str">
        <f>IFERROR(__xludf.DUMMYFUNCTION("""COMPUTED_VALUE"""),"2023-05")</f>
        <v>2023-05</v>
      </c>
      <c r="T7" s="6">
        <f>IFERROR(__xludf.DUMMYFUNCTION("""COMPUTED_VALUE"""),4632.0)</f>
        <v>4632</v>
      </c>
    </row>
    <row r="8">
      <c r="A8" s="6" t="str">
        <f>IFERROR(__xludf.DUMMYFUNCTION("""COMPUTED_VALUE"""),"fc99f0b0-6287-4b09-a878-6cbc4db7be08")</f>
        <v>fc99f0b0-6287-4b09-a878-6cbc4db7be08</v>
      </c>
      <c r="B8" s="6" t="str">
        <f>IFERROR(__xludf.DUMMYFUNCTION("""COMPUTED_VALUE"""),"0261e287-494b-419b-9da3-8d13a9f48c0d")</f>
        <v>0261e287-494b-419b-9da3-8d13a9f48c0d</v>
      </c>
      <c r="C8" s="7">
        <f>IFERROR(__xludf.DUMMYFUNCTION("""COMPUTED_VALUE"""),45237.0)</f>
        <v>45237</v>
      </c>
      <c r="D8" s="8">
        <f>IFERROR(__xludf.DUMMYFUNCTION("""COMPUTED_VALUE"""),3.5077589E7)</f>
        <v>35077589</v>
      </c>
      <c r="E8" s="6" t="str">
        <f>IFERROR(__xludf.DUMMYFUNCTION("""COMPUTED_VALUE"""),"MOVIE")</f>
        <v>MOVIE</v>
      </c>
      <c r="F8" s="6" t="str">
        <f>IFERROR(__xludf.DUMMYFUNCTION("""COMPUTED_VALUE"""),"Sci-Fi")</f>
        <v>Sci-Fi</v>
      </c>
      <c r="G8" s="6">
        <f>IFERROR(__xludf.DUMMYFUNCTION("""COMPUTED_VALUE"""),80.0)</f>
        <v>80</v>
      </c>
      <c r="H8" s="6">
        <f>IFERROR(__xludf.DUMMYFUNCTION("""COMPUTED_VALUE"""),1.0)</f>
        <v>1</v>
      </c>
      <c r="I8" s="6" t="str">
        <f>IFERROR(__xludf.DUMMYFUNCTION("""COMPUTED_VALUE"""),"Tablet")</f>
        <v>Tablet</v>
      </c>
      <c r="J8" s="6" t="str">
        <f>IFERROR(__xludf.DUMMYFUNCTION("""COMPUTED_VALUE"""),"Usa")</f>
        <v>Usa</v>
      </c>
      <c r="K8" s="6" t="str">
        <f>IFERROR(__xludf.DUMMYFUNCTION("""COMPUTED_VALUE"""),"Basic")</f>
        <v>Basic</v>
      </c>
      <c r="L8" s="6">
        <f>IFERROR(__xludf.DUMMYFUNCTION("""COMPUTED_VALUE"""),0.0)</f>
        <v>0</v>
      </c>
      <c r="M8" s="6" t="str">
        <f>IFERROR(__xludf.DUMMYFUNCTION("""COMPUTED_VALUE"""),"2023-11")</f>
        <v>2023-11</v>
      </c>
      <c r="S8" s="6" t="str">
        <f>IFERROR(__xludf.DUMMYFUNCTION("""COMPUTED_VALUE"""),"2023-06")</f>
        <v>2023-06</v>
      </c>
      <c r="T8" s="6">
        <f>IFERROR(__xludf.DUMMYFUNCTION("""COMPUTED_VALUE"""),3991.0)</f>
        <v>3991</v>
      </c>
    </row>
    <row r="9">
      <c r="A9" s="6" t="str">
        <f>IFERROR(__xludf.DUMMYFUNCTION("""COMPUTED_VALUE"""),"216d8b51-e659-44b0-8865-def3b617b695")</f>
        <v>216d8b51-e659-44b0-8865-def3b617b695</v>
      </c>
      <c r="B9" s="6" t="str">
        <f>IFERROR(__xludf.DUMMYFUNCTION("""COMPUTED_VALUE"""),"0269346b-0195-484a-b090-ca8d38c4be6f")</f>
        <v>0269346b-0195-484a-b090-ca8d38c4be6f</v>
      </c>
      <c r="C9" s="7">
        <f>IFERROR(__xludf.DUMMYFUNCTION("""COMPUTED_VALUE"""),45148.0)</f>
        <v>45148</v>
      </c>
      <c r="D9" s="8">
        <f>IFERROR(__xludf.DUMMYFUNCTION("""COMPUTED_VALUE"""),4.4430986E7)</f>
        <v>44430986</v>
      </c>
      <c r="E9" s="6" t="str">
        <f>IFERROR(__xludf.DUMMYFUNCTION("""COMPUTED_VALUE"""),"MOVIE")</f>
        <v>MOVIE</v>
      </c>
      <c r="F9" s="6" t="str">
        <f>IFERROR(__xludf.DUMMYFUNCTION("""COMPUTED_VALUE"""),"Sci-Fi")</f>
        <v>Sci-Fi</v>
      </c>
      <c r="G9" s="6">
        <f>IFERROR(__xludf.DUMMYFUNCTION("""COMPUTED_VALUE"""),143.0)</f>
        <v>143</v>
      </c>
      <c r="H9" s="6">
        <f>IFERROR(__xludf.DUMMYFUNCTION("""COMPUTED_VALUE"""),0.0)</f>
        <v>0</v>
      </c>
      <c r="I9" s="6" t="str">
        <f>IFERROR(__xludf.DUMMYFUNCTION("""COMPUTED_VALUE"""),"Tablet")</f>
        <v>Tablet</v>
      </c>
      <c r="J9" s="6" t="str">
        <f>IFERROR(__xludf.DUMMYFUNCTION("""COMPUTED_VALUE"""),"Usa")</f>
        <v>Usa</v>
      </c>
      <c r="K9" s="6" t="str">
        <f>IFERROR(__xludf.DUMMYFUNCTION("""COMPUTED_VALUE"""),"Standard")</f>
        <v>Standard</v>
      </c>
      <c r="L9" s="6">
        <f>IFERROR(__xludf.DUMMYFUNCTION("""COMPUTED_VALUE"""),0.0)</f>
        <v>0</v>
      </c>
      <c r="M9" s="6" t="str">
        <f>IFERROR(__xludf.DUMMYFUNCTION("""COMPUTED_VALUE"""),"2023-08")</f>
        <v>2023-08</v>
      </c>
      <c r="S9" s="6" t="str">
        <f>IFERROR(__xludf.DUMMYFUNCTION("""COMPUTED_VALUE"""),"2023-07")</f>
        <v>2023-07</v>
      </c>
      <c r="T9" s="6">
        <f>IFERROR(__xludf.DUMMYFUNCTION("""COMPUTED_VALUE"""),4751.0)</f>
        <v>4751</v>
      </c>
    </row>
    <row r="10">
      <c r="A10" s="6" t="str">
        <f>IFERROR(__xludf.DUMMYFUNCTION("""COMPUTED_VALUE"""),"59ec7ed5-6d6f-4f7b-afcb-dfef68e5f17a")</f>
        <v>59ec7ed5-6d6f-4f7b-afcb-dfef68e5f17a</v>
      </c>
      <c r="B10" s="6" t="str">
        <f>IFERROR(__xludf.DUMMYFUNCTION("""COMPUTED_VALUE"""),"028d4d64-cab7-4ebe-a841-06ca0fcbcce1")</f>
        <v>028d4d64-cab7-4ebe-a841-06ca0fcbcce1</v>
      </c>
      <c r="C10" s="7">
        <f>IFERROR(__xludf.DUMMYFUNCTION("""COMPUTED_VALUE"""),44931.0)</f>
        <v>44931</v>
      </c>
      <c r="D10" s="8">
        <f>IFERROR(__xludf.DUMMYFUNCTION("""COMPUTED_VALUE"""),5.5785822E7)</f>
        <v>55785822</v>
      </c>
      <c r="E10" s="6" t="str">
        <f>IFERROR(__xludf.DUMMYFUNCTION("""COMPUTED_VALUE"""),"DOCUMENTARY")</f>
        <v>DOCUMENTARY</v>
      </c>
      <c r="F10" s="6" t="str">
        <f>IFERROR(__xludf.DUMMYFUNCTION("""COMPUTED_VALUE"""),"Comedy")</f>
        <v>Comedy</v>
      </c>
      <c r="G10" s="6">
        <f>IFERROR(__xludf.DUMMYFUNCTION("""COMPUTED_VALUE"""),36.0)</f>
        <v>36</v>
      </c>
      <c r="H10" s="6">
        <f>IFERROR(__xludf.DUMMYFUNCTION("""COMPUTED_VALUE"""),1.0)</f>
        <v>1</v>
      </c>
      <c r="I10" s="6" t="str">
        <f>IFERROR(__xludf.DUMMYFUNCTION("""COMPUTED_VALUE"""),"Smart Tv")</f>
        <v>Smart Tv</v>
      </c>
      <c r="J10" s="6" t="str">
        <f>IFERROR(__xludf.DUMMYFUNCTION("""COMPUTED_VALUE"""),"Uk")</f>
        <v>Uk</v>
      </c>
      <c r="K10" s="6" t="str">
        <f>IFERROR(__xludf.DUMMYFUNCTION("""COMPUTED_VALUE"""),"Standard")</f>
        <v>Standard</v>
      </c>
      <c r="L10" s="6">
        <f>IFERROR(__xludf.DUMMYFUNCTION("""COMPUTED_VALUE"""),0.0)</f>
        <v>0</v>
      </c>
      <c r="M10" s="6" t="str">
        <f>IFERROR(__xludf.DUMMYFUNCTION("""COMPUTED_VALUE"""),"2023-01")</f>
        <v>2023-01</v>
      </c>
      <c r="S10" s="6" t="str">
        <f>IFERROR(__xludf.DUMMYFUNCTION("""COMPUTED_VALUE"""),"2023-08")</f>
        <v>2023-08</v>
      </c>
      <c r="T10" s="6">
        <f>IFERROR(__xludf.DUMMYFUNCTION("""COMPUTED_VALUE"""),4600.0)</f>
        <v>4600</v>
      </c>
    </row>
    <row r="11">
      <c r="A11" s="6" t="str">
        <f>IFERROR(__xludf.DUMMYFUNCTION("""COMPUTED_VALUE"""),"feef3520-3034-4841-92a9-e2a16250ac11")</f>
        <v>feef3520-3034-4841-92a9-e2a16250ac11</v>
      </c>
      <c r="B11" s="6" t="str">
        <f>IFERROR(__xludf.DUMMYFUNCTION("""COMPUTED_VALUE"""),"029c62df-f5cb-4a79-8789-03e9231edbc7")</f>
        <v>029c62df-f5cb-4a79-8789-03e9231edbc7</v>
      </c>
      <c r="C11" s="7">
        <f>IFERROR(__xludf.DUMMYFUNCTION("""COMPUTED_VALUE"""),45188.0)</f>
        <v>45188</v>
      </c>
      <c r="D11" s="8">
        <f>IFERROR(__xludf.DUMMYFUNCTION("""COMPUTED_VALUE"""),3.9150745E7)</f>
        <v>39150745</v>
      </c>
      <c r="E11" s="6" t="str">
        <f>IFERROR(__xludf.DUMMYFUNCTION("""COMPUTED_VALUE"""),"DOCUMENTARY")</f>
        <v>DOCUMENTARY</v>
      </c>
      <c r="F11" s="6" t="str">
        <f>IFERROR(__xludf.DUMMYFUNCTION("""COMPUTED_VALUE"""),"Comedy")</f>
        <v>Comedy</v>
      </c>
      <c r="G11" s="6">
        <f>IFERROR(__xludf.DUMMYFUNCTION("""COMPUTED_VALUE"""),83.0)</f>
        <v>83</v>
      </c>
      <c r="H11" s="6">
        <f>IFERROR(__xludf.DUMMYFUNCTION("""COMPUTED_VALUE"""),1.0)</f>
        <v>1</v>
      </c>
      <c r="I11" s="6" t="str">
        <f>IFERROR(__xludf.DUMMYFUNCTION("""COMPUTED_VALUE"""),"Mobile")</f>
        <v>Mobile</v>
      </c>
      <c r="J11" s="6" t="str">
        <f>IFERROR(__xludf.DUMMYFUNCTION("""COMPUTED_VALUE"""),"France")</f>
        <v>France</v>
      </c>
      <c r="K11" s="6" t="str">
        <f>IFERROR(__xludf.DUMMYFUNCTION("""COMPUTED_VALUE"""),"Premium")</f>
        <v>Premium</v>
      </c>
      <c r="L11" s="6">
        <f>IFERROR(__xludf.DUMMYFUNCTION("""COMPUTED_VALUE"""),1.0)</f>
        <v>1</v>
      </c>
      <c r="M11" s="6" t="str">
        <f>IFERROR(__xludf.DUMMYFUNCTION("""COMPUTED_VALUE"""),"2023-09")</f>
        <v>2023-09</v>
      </c>
      <c r="S11" s="6" t="str">
        <f>IFERROR(__xludf.DUMMYFUNCTION("""COMPUTED_VALUE"""),"2023-09")</f>
        <v>2023-09</v>
      </c>
      <c r="T11" s="6">
        <f>IFERROR(__xludf.DUMMYFUNCTION("""COMPUTED_VALUE"""),4873.0)</f>
        <v>4873</v>
      </c>
    </row>
    <row r="12">
      <c r="A12" s="6" t="str">
        <f>IFERROR(__xludf.DUMMYFUNCTION("""COMPUTED_VALUE"""),"614b3ebb-3845-46bd-a566-0ca1af6b5d12")</f>
        <v>614b3ebb-3845-46bd-a566-0ca1af6b5d12</v>
      </c>
      <c r="B12" s="6" t="str">
        <f>IFERROR(__xludf.DUMMYFUNCTION("""COMPUTED_VALUE"""),"02a03b46-f8b8-4e14-a7d8-ed18ce4e682f")</f>
        <v>02a03b46-f8b8-4e14-a7d8-ed18ce4e682f</v>
      </c>
      <c r="C12" s="7">
        <f>IFERROR(__xludf.DUMMYFUNCTION("""COMPUTED_VALUE"""),44970.0)</f>
        <v>44970</v>
      </c>
      <c r="D12" s="8">
        <f>IFERROR(__xludf.DUMMYFUNCTION("""COMPUTED_VALUE"""),3.8179549E7)</f>
        <v>38179549</v>
      </c>
      <c r="E12" s="6" t="str">
        <f>IFERROR(__xludf.DUMMYFUNCTION("""COMPUTED_VALUE"""),"MOVIE")</f>
        <v>MOVIE</v>
      </c>
      <c r="F12" s="6" t="str">
        <f>IFERROR(__xludf.DUMMYFUNCTION("""COMPUTED_VALUE"""),"Sci-Fi")</f>
        <v>Sci-Fi</v>
      </c>
      <c r="G12" s="6">
        <f>IFERROR(__xludf.DUMMYFUNCTION("""COMPUTED_VALUE"""),157.0)</f>
        <v>157</v>
      </c>
      <c r="H12" s="6">
        <f>IFERROR(__xludf.DUMMYFUNCTION("""COMPUTED_VALUE"""),1.0)</f>
        <v>1</v>
      </c>
      <c r="I12" s="6" t="str">
        <f>IFERROR(__xludf.DUMMYFUNCTION("""COMPUTED_VALUE"""),"Tablet")</f>
        <v>Tablet</v>
      </c>
      <c r="J12" s="6" t="str">
        <f>IFERROR(__xludf.DUMMYFUNCTION("""COMPUTED_VALUE"""),"Usa")</f>
        <v>Usa</v>
      </c>
      <c r="K12" s="6" t="str">
        <f>IFERROR(__xludf.DUMMYFUNCTION("""COMPUTED_VALUE"""),"Premium")</f>
        <v>Premium</v>
      </c>
      <c r="L12" s="6">
        <f>IFERROR(__xludf.DUMMYFUNCTION("""COMPUTED_VALUE"""),0.0)</f>
        <v>0</v>
      </c>
      <c r="M12" s="6" t="str">
        <f>IFERROR(__xludf.DUMMYFUNCTION("""COMPUTED_VALUE"""),"2023-02")</f>
        <v>2023-02</v>
      </c>
      <c r="S12" s="6" t="str">
        <f>IFERROR(__xludf.DUMMYFUNCTION("""COMPUTED_VALUE"""),"2023-10")</f>
        <v>2023-10</v>
      </c>
      <c r="T12" s="6">
        <f>IFERROR(__xludf.DUMMYFUNCTION("""COMPUTED_VALUE"""),5763.0)</f>
        <v>5763</v>
      </c>
    </row>
    <row r="13">
      <c r="A13" s="6" t="str">
        <f>IFERROR(__xludf.DUMMYFUNCTION("""COMPUTED_VALUE"""),"68f111c6-ddef-4680-9eb8-39597f119389")</f>
        <v>68f111c6-ddef-4680-9eb8-39597f119389</v>
      </c>
      <c r="B13" s="6" t="str">
        <f>IFERROR(__xludf.DUMMYFUNCTION("""COMPUTED_VALUE"""),"02d916a8-bcea-46fd-bae7-1e959f0a1049")</f>
        <v>02d916a8-bcea-46fd-bae7-1e959f0a1049</v>
      </c>
      <c r="C13" s="7">
        <f>IFERROR(__xludf.DUMMYFUNCTION("""COMPUTED_VALUE"""),45037.0)</f>
        <v>45037</v>
      </c>
      <c r="D13" s="8">
        <f>IFERROR(__xludf.DUMMYFUNCTION("""COMPUTED_VALUE"""),3096819.0)</f>
        <v>3096819</v>
      </c>
      <c r="E13" s="6" t="str">
        <f>IFERROR(__xludf.DUMMYFUNCTION("""COMPUTED_VALUE"""),"MOVIE")</f>
        <v>MOVIE</v>
      </c>
      <c r="F13" s="6" t="str">
        <f>IFERROR(__xludf.DUMMYFUNCTION("""COMPUTED_VALUE"""),"Sci-Fi")</f>
        <v>Sci-Fi</v>
      </c>
      <c r="G13" s="6">
        <f>IFERROR(__xludf.DUMMYFUNCTION("""COMPUTED_VALUE"""),53.0)</f>
        <v>53</v>
      </c>
      <c r="H13" s="6">
        <f>IFERROR(__xludf.DUMMYFUNCTION("""COMPUTED_VALUE"""),1.0)</f>
        <v>1</v>
      </c>
      <c r="I13" s="6" t="str">
        <f>IFERROR(__xludf.DUMMYFUNCTION("""COMPUTED_VALUE"""),"Desktop")</f>
        <v>Desktop</v>
      </c>
      <c r="J13" s="6" t="str">
        <f>IFERROR(__xludf.DUMMYFUNCTION("""COMPUTED_VALUE"""),"Uk")</f>
        <v>Uk</v>
      </c>
      <c r="K13" s="6" t="str">
        <f>IFERROR(__xludf.DUMMYFUNCTION("""COMPUTED_VALUE"""),"Standard")</f>
        <v>Standard</v>
      </c>
      <c r="L13" s="6">
        <f>IFERROR(__xludf.DUMMYFUNCTION("""COMPUTED_VALUE"""),0.0)</f>
        <v>0</v>
      </c>
      <c r="M13" s="6" t="str">
        <f>IFERROR(__xludf.DUMMYFUNCTION("""COMPUTED_VALUE"""),"2023-04")</f>
        <v>2023-04</v>
      </c>
      <c r="S13" s="6" t="str">
        <f>IFERROR(__xludf.DUMMYFUNCTION("""COMPUTED_VALUE"""),"2023-11")</f>
        <v>2023-11</v>
      </c>
      <c r="T13" s="6">
        <f>IFERROR(__xludf.DUMMYFUNCTION("""COMPUTED_VALUE"""),4834.0)</f>
        <v>4834</v>
      </c>
    </row>
    <row r="14">
      <c r="A14" s="6" t="str">
        <f>IFERROR(__xludf.DUMMYFUNCTION("""COMPUTED_VALUE"""),"baa57f5e-f169-45a8-bf1c-8815e8983868")</f>
        <v>baa57f5e-f169-45a8-bf1c-8815e8983868</v>
      </c>
      <c r="B14" s="6" t="str">
        <f>IFERROR(__xludf.DUMMYFUNCTION("""COMPUTED_VALUE"""),"02e6112a-0dab-4f5c-9e5d-85496d49693c")</f>
        <v>02e6112a-0dab-4f5c-9e5d-85496d49693c</v>
      </c>
      <c r="C14" s="7">
        <f>IFERROR(__xludf.DUMMYFUNCTION("""COMPUTED_VALUE"""),45104.0)</f>
        <v>45104</v>
      </c>
      <c r="D14" s="8">
        <f>IFERROR(__xludf.DUMMYFUNCTION("""COMPUTED_VALUE"""),1.4575419E7)</f>
        <v>14575419</v>
      </c>
      <c r="E14" s="6" t="str">
        <f>IFERROR(__xludf.DUMMYFUNCTION("""COMPUTED_VALUE"""),"DOCUMENTARY")</f>
        <v>DOCUMENTARY</v>
      </c>
      <c r="F14" s="6" t="str">
        <f>IFERROR(__xludf.DUMMYFUNCTION("""COMPUTED_VALUE"""),"Thriller")</f>
        <v>Thriller</v>
      </c>
      <c r="G14" s="6">
        <f>IFERROR(__xludf.DUMMYFUNCTION("""COMPUTED_VALUE"""),42.0)</f>
        <v>42</v>
      </c>
      <c r="H14" s="6">
        <f>IFERROR(__xludf.DUMMYFUNCTION("""COMPUTED_VALUE"""),0.0)</f>
        <v>0</v>
      </c>
      <c r="I14" s="6" t="str">
        <f>IFERROR(__xludf.DUMMYFUNCTION("""COMPUTED_VALUE"""),"Tablet")</f>
        <v>Tablet</v>
      </c>
      <c r="J14" s="6" t="str">
        <f>IFERROR(__xludf.DUMMYFUNCTION("""COMPUTED_VALUE"""),"Uk")</f>
        <v>Uk</v>
      </c>
      <c r="K14" s="6" t="str">
        <f>IFERROR(__xludf.DUMMYFUNCTION("""COMPUTED_VALUE"""),"Standard")</f>
        <v>Standard</v>
      </c>
      <c r="L14" s="6">
        <f>IFERROR(__xludf.DUMMYFUNCTION("""COMPUTED_VALUE"""),0.0)</f>
        <v>0</v>
      </c>
      <c r="M14" s="6" t="str">
        <f>IFERROR(__xludf.DUMMYFUNCTION("""COMPUTED_VALUE"""),"2023-06")</f>
        <v>2023-06</v>
      </c>
      <c r="S14" s="6" t="str">
        <f>IFERROR(__xludf.DUMMYFUNCTION("""COMPUTED_VALUE"""),"2023-12")</f>
        <v>2023-12</v>
      </c>
      <c r="T14" s="6">
        <f>IFERROR(__xludf.DUMMYFUNCTION("""COMPUTED_VALUE"""),3977.0)</f>
        <v>3977</v>
      </c>
    </row>
    <row r="15">
      <c r="A15" s="6" t="str">
        <f>IFERROR(__xludf.DUMMYFUNCTION("""COMPUTED_VALUE"""),"b64551cd-ae0f-4ab0-8e39-11338339f035")</f>
        <v>b64551cd-ae0f-4ab0-8e39-11338339f035</v>
      </c>
      <c r="B15" s="6" t="str">
        <f>IFERROR(__xludf.DUMMYFUNCTION("""COMPUTED_VALUE"""),"0316d37e-c626-43fb-8105-b5bf5f3a575d")</f>
        <v>0316d37e-c626-43fb-8105-b5bf5f3a575d</v>
      </c>
      <c r="C15" s="7">
        <f>IFERROR(__xludf.DUMMYFUNCTION("""COMPUTED_VALUE"""),45168.0)</f>
        <v>45168</v>
      </c>
      <c r="D15" s="8">
        <f>IFERROR(__xludf.DUMMYFUNCTION("""COMPUTED_VALUE"""),3.5480204E7)</f>
        <v>35480204</v>
      </c>
      <c r="E15" s="6" t="str">
        <f>IFERROR(__xludf.DUMMYFUNCTION("""COMPUTED_VALUE"""),"DOCUMENTARY")</f>
        <v>DOCUMENTARY</v>
      </c>
      <c r="F15" s="6" t="str">
        <f>IFERROR(__xludf.DUMMYFUNCTION("""COMPUTED_VALUE"""),"Comedy")</f>
        <v>Comedy</v>
      </c>
      <c r="G15" s="6">
        <f>IFERROR(__xludf.DUMMYFUNCTION("""COMPUTED_VALUE"""),137.0)</f>
        <v>137</v>
      </c>
      <c r="H15" s="6">
        <f>IFERROR(__xludf.DUMMYFUNCTION("""COMPUTED_VALUE"""),1.0)</f>
        <v>1</v>
      </c>
      <c r="I15" s="6" t="str">
        <f>IFERROR(__xludf.DUMMYFUNCTION("""COMPUTED_VALUE"""),"Tablet")</f>
        <v>Tablet</v>
      </c>
      <c r="J15" s="6" t="str">
        <f>IFERROR(__xludf.DUMMYFUNCTION("""COMPUTED_VALUE"""),"India")</f>
        <v>India</v>
      </c>
      <c r="K15" s="6" t="str">
        <f>IFERROR(__xludf.DUMMYFUNCTION("""COMPUTED_VALUE"""),"Standard")</f>
        <v>Standard</v>
      </c>
      <c r="L15" s="6">
        <f>IFERROR(__xludf.DUMMYFUNCTION("""COMPUTED_VALUE"""),0.0)</f>
        <v>0</v>
      </c>
      <c r="M15" s="6" t="str">
        <f>IFERROR(__xludf.DUMMYFUNCTION("""COMPUTED_VALUE"""),"2023-08")</f>
        <v>2023-08</v>
      </c>
    </row>
    <row r="16">
      <c r="A16" s="6" t="str">
        <f>IFERROR(__xludf.DUMMYFUNCTION("""COMPUTED_VALUE"""),"7320132a-f73a-47dd-aa47-1f3cc6e948c0")</f>
        <v>7320132a-f73a-47dd-aa47-1f3cc6e948c0</v>
      </c>
      <c r="B16" s="6" t="str">
        <f>IFERROR(__xludf.DUMMYFUNCTION("""COMPUTED_VALUE"""),"0383ee73-aac5-4626-a45e-e216f31564a2")</f>
        <v>0383ee73-aac5-4626-a45e-e216f31564a2</v>
      </c>
      <c r="C16" s="7">
        <f>IFERROR(__xludf.DUMMYFUNCTION("""COMPUTED_VALUE"""),44928.0)</f>
        <v>44928</v>
      </c>
      <c r="D16" s="8">
        <f>IFERROR(__xludf.DUMMYFUNCTION("""COMPUTED_VALUE"""),3.5182412E7)</f>
        <v>35182412</v>
      </c>
      <c r="E16" s="6" t="str">
        <f>IFERROR(__xludf.DUMMYFUNCTION("""COMPUTED_VALUE"""),"MOVIE")</f>
        <v>MOVIE</v>
      </c>
      <c r="F16" s="6" t="str">
        <f>IFERROR(__xludf.DUMMYFUNCTION("""COMPUTED_VALUE"""),"Action")</f>
        <v>Action</v>
      </c>
      <c r="G16" s="6">
        <f>IFERROR(__xludf.DUMMYFUNCTION("""COMPUTED_VALUE"""),40.0)</f>
        <v>40</v>
      </c>
      <c r="H16" s="6">
        <f>IFERROR(__xludf.DUMMYFUNCTION("""COMPUTED_VALUE"""),1.0)</f>
        <v>1</v>
      </c>
      <c r="I16" s="6" t="str">
        <f>IFERROR(__xludf.DUMMYFUNCTION("""COMPUTED_VALUE"""),"Desktop")</f>
        <v>Desktop</v>
      </c>
      <c r="J16" s="6" t="str">
        <f>IFERROR(__xludf.DUMMYFUNCTION("""COMPUTED_VALUE"""),"Usa")</f>
        <v>Usa</v>
      </c>
      <c r="K16" s="6" t="str">
        <f>IFERROR(__xludf.DUMMYFUNCTION("""COMPUTED_VALUE"""),"Premium")</f>
        <v>Premium</v>
      </c>
      <c r="L16" s="6">
        <f>IFERROR(__xludf.DUMMYFUNCTION("""COMPUTED_VALUE"""),0.0)</f>
        <v>0</v>
      </c>
      <c r="M16" s="6" t="str">
        <f>IFERROR(__xludf.DUMMYFUNCTION("""COMPUTED_VALUE"""),"2023-01")</f>
        <v>2023-01</v>
      </c>
    </row>
    <row r="17">
      <c r="A17" s="6" t="str">
        <f>IFERROR(__xludf.DUMMYFUNCTION("""COMPUTED_VALUE"""),"349afde3-1c45-4e92-af32-cdf6074001e8")</f>
        <v>349afde3-1c45-4e92-af32-cdf6074001e8</v>
      </c>
      <c r="B17" s="6" t="str">
        <f>IFERROR(__xludf.DUMMYFUNCTION("""COMPUTED_VALUE"""),"03c41edf-304c-453b-a3a8-0de7663b8752")</f>
        <v>03c41edf-304c-453b-a3a8-0de7663b8752</v>
      </c>
      <c r="C17" s="7">
        <f>IFERROR(__xludf.DUMMYFUNCTION("""COMPUTED_VALUE"""),45066.0)</f>
        <v>45066</v>
      </c>
      <c r="D17" s="8">
        <f>IFERROR(__xludf.DUMMYFUNCTION("""COMPUTED_VALUE"""),9.3799232E7)</f>
        <v>93799232</v>
      </c>
      <c r="E17" s="6" t="str">
        <f>IFERROR(__xludf.DUMMYFUNCTION("""COMPUTED_VALUE"""),"SERIES")</f>
        <v>SERIES</v>
      </c>
      <c r="F17" s="6" t="str">
        <f>IFERROR(__xludf.DUMMYFUNCTION("""COMPUTED_VALUE"""),"Thriller")</f>
        <v>Thriller</v>
      </c>
      <c r="G17" s="6">
        <f>IFERROR(__xludf.DUMMYFUNCTION("""COMPUTED_VALUE"""),24.0)</f>
        <v>24</v>
      </c>
      <c r="H17" s="6">
        <f>IFERROR(__xludf.DUMMYFUNCTION("""COMPUTED_VALUE"""),1.0)</f>
        <v>1</v>
      </c>
      <c r="I17" s="6" t="str">
        <f>IFERROR(__xludf.DUMMYFUNCTION("""COMPUTED_VALUE"""),"Mobile")</f>
        <v>Mobile</v>
      </c>
      <c r="J17" s="6" t="str">
        <f>IFERROR(__xludf.DUMMYFUNCTION("""COMPUTED_VALUE"""),"Germany")</f>
        <v>Germany</v>
      </c>
      <c r="K17" s="6" t="str">
        <f>IFERROR(__xludf.DUMMYFUNCTION("""COMPUTED_VALUE"""),"Standard")</f>
        <v>Standard</v>
      </c>
      <c r="L17" s="6">
        <f>IFERROR(__xludf.DUMMYFUNCTION("""COMPUTED_VALUE"""),0.0)</f>
        <v>0</v>
      </c>
      <c r="M17" s="6" t="str">
        <f>IFERROR(__xludf.DUMMYFUNCTION("""COMPUTED_VALUE"""),"2023-05")</f>
        <v>2023-05</v>
      </c>
    </row>
    <row r="18">
      <c r="A18" s="6" t="str">
        <f>IFERROR(__xludf.DUMMYFUNCTION("""COMPUTED_VALUE"""),"f502ccbb-ff5d-41eb-8c06-56fb1339998b")</f>
        <v>f502ccbb-ff5d-41eb-8c06-56fb1339998b</v>
      </c>
      <c r="B18" s="6" t="str">
        <f>IFERROR(__xludf.DUMMYFUNCTION("""COMPUTED_VALUE"""),"042f2f87-1ed3-4209-b59f-319bb0d5cc94")</f>
        <v>042f2f87-1ed3-4209-b59f-319bb0d5cc94</v>
      </c>
      <c r="C18" s="7">
        <f>IFERROR(__xludf.DUMMYFUNCTION("""COMPUTED_VALUE"""),44930.0)</f>
        <v>44930</v>
      </c>
      <c r="D18" s="8">
        <f>IFERROR(__xludf.DUMMYFUNCTION("""COMPUTED_VALUE"""),8.0620822E7)</f>
        <v>80620822</v>
      </c>
      <c r="E18" s="6" t="str">
        <f>IFERROR(__xludf.DUMMYFUNCTION("""COMPUTED_VALUE"""),"MOVIE")</f>
        <v>MOVIE</v>
      </c>
      <c r="F18" s="6" t="str">
        <f>IFERROR(__xludf.DUMMYFUNCTION("""COMPUTED_VALUE"""),"Thriller")</f>
        <v>Thriller</v>
      </c>
      <c r="G18" s="6">
        <f>IFERROR(__xludf.DUMMYFUNCTION("""COMPUTED_VALUE"""),99.0)</f>
        <v>99</v>
      </c>
      <c r="H18" s="6">
        <f>IFERROR(__xludf.DUMMYFUNCTION("""COMPUTED_VALUE"""),0.0)</f>
        <v>0</v>
      </c>
      <c r="I18" s="6" t="str">
        <f>IFERROR(__xludf.DUMMYFUNCTION("""COMPUTED_VALUE"""),"Mobile")</f>
        <v>Mobile</v>
      </c>
      <c r="J18" s="6" t="str">
        <f>IFERROR(__xludf.DUMMYFUNCTION("""COMPUTED_VALUE"""),"France")</f>
        <v>France</v>
      </c>
      <c r="K18" s="6" t="str">
        <f>IFERROR(__xludf.DUMMYFUNCTION("""COMPUTED_VALUE"""),"Standard")</f>
        <v>Standard</v>
      </c>
      <c r="L18" s="6">
        <f>IFERROR(__xludf.DUMMYFUNCTION("""COMPUTED_VALUE"""),0.0)</f>
        <v>0</v>
      </c>
      <c r="M18" s="6" t="str">
        <f>IFERROR(__xludf.DUMMYFUNCTION("""COMPUTED_VALUE"""),"2023-01")</f>
        <v>2023-01</v>
      </c>
    </row>
    <row r="19">
      <c r="A19" s="6" t="str">
        <f>IFERROR(__xludf.DUMMYFUNCTION("""COMPUTED_VALUE"""),"89090502-c71b-4550-b0bf-5a520322d289")</f>
        <v>89090502-c71b-4550-b0bf-5a520322d289</v>
      </c>
      <c r="B19" s="6" t="str">
        <f>IFERROR(__xludf.DUMMYFUNCTION("""COMPUTED_VALUE"""),"045d6a25-4b29-41f4-996b-ef0c44f8dbfe")</f>
        <v>045d6a25-4b29-41f4-996b-ef0c44f8dbfe</v>
      </c>
      <c r="C19" s="7">
        <f>IFERROR(__xludf.DUMMYFUNCTION("""COMPUTED_VALUE"""),45254.0)</f>
        <v>45254</v>
      </c>
      <c r="D19" s="8">
        <f>IFERROR(__xludf.DUMMYFUNCTION("""COMPUTED_VALUE"""),6.8053468E7)</f>
        <v>68053468</v>
      </c>
      <c r="E19" s="6" t="str">
        <f>IFERROR(__xludf.DUMMYFUNCTION("""COMPUTED_VALUE"""),"SERIES")</f>
        <v>SERIES</v>
      </c>
      <c r="F19" s="6" t="str">
        <f>IFERROR(__xludf.DUMMYFUNCTION("""COMPUTED_VALUE"""),"Comedy")</f>
        <v>Comedy</v>
      </c>
      <c r="G19" s="6">
        <f>IFERROR(__xludf.DUMMYFUNCTION("""COMPUTED_VALUE"""),36.0)</f>
        <v>36</v>
      </c>
      <c r="H19" s="6">
        <f>IFERROR(__xludf.DUMMYFUNCTION("""COMPUTED_VALUE"""),0.0)</f>
        <v>0</v>
      </c>
      <c r="I19" s="6" t="str">
        <f>IFERROR(__xludf.DUMMYFUNCTION("""COMPUTED_VALUE"""),"Smart Tv")</f>
        <v>Smart Tv</v>
      </c>
      <c r="J19" s="6" t="str">
        <f>IFERROR(__xludf.DUMMYFUNCTION("""COMPUTED_VALUE"""),"Uk")</f>
        <v>Uk</v>
      </c>
      <c r="K19" s="6" t="str">
        <f>IFERROR(__xludf.DUMMYFUNCTION("""COMPUTED_VALUE"""),"Standard")</f>
        <v>Standard</v>
      </c>
      <c r="L19" s="6">
        <f>IFERROR(__xludf.DUMMYFUNCTION("""COMPUTED_VALUE"""),0.0)</f>
        <v>0</v>
      </c>
      <c r="M19" s="6" t="str">
        <f>IFERROR(__xludf.DUMMYFUNCTION("""COMPUTED_VALUE"""),"2023-11")</f>
        <v>2023-11</v>
      </c>
    </row>
    <row r="20">
      <c r="A20" s="6" t="str">
        <f>IFERROR(__xludf.DUMMYFUNCTION("""COMPUTED_VALUE"""),"a2d5d71b-74a6-4138-a6d3-9c8688ba469c")</f>
        <v>a2d5d71b-74a6-4138-a6d3-9c8688ba469c</v>
      </c>
      <c r="B20" s="6" t="str">
        <f>IFERROR(__xludf.DUMMYFUNCTION("""COMPUTED_VALUE"""),"0477e5c6-e61c-4bc4-ad07-7c079aa40ec4")</f>
        <v>0477e5c6-e61c-4bc4-ad07-7c079aa40ec4</v>
      </c>
      <c r="C20" s="7">
        <f>IFERROR(__xludf.DUMMYFUNCTION("""COMPUTED_VALUE"""),45076.0)</f>
        <v>45076</v>
      </c>
      <c r="D20" s="8">
        <f>IFERROR(__xludf.DUMMYFUNCTION("""COMPUTED_VALUE"""),8.1001064E7)</f>
        <v>81001064</v>
      </c>
      <c r="E20" s="6" t="str">
        <f>IFERROR(__xludf.DUMMYFUNCTION("""COMPUTED_VALUE"""),"MOVIE")</f>
        <v>MOVIE</v>
      </c>
      <c r="F20" s="6" t="str">
        <f>IFERROR(__xludf.DUMMYFUNCTION("""COMPUTED_VALUE"""),"Thriller")</f>
        <v>Thriller</v>
      </c>
      <c r="G20" s="6">
        <f>IFERROR(__xludf.DUMMYFUNCTION("""COMPUTED_VALUE"""),150.0)</f>
        <v>150</v>
      </c>
      <c r="H20" s="6">
        <f>IFERROR(__xludf.DUMMYFUNCTION("""COMPUTED_VALUE"""),1.0)</f>
        <v>1</v>
      </c>
      <c r="I20" s="6" t="str">
        <f>IFERROR(__xludf.DUMMYFUNCTION("""COMPUTED_VALUE"""),"Smart Tv")</f>
        <v>Smart Tv</v>
      </c>
      <c r="J20" s="6" t="str">
        <f>IFERROR(__xludf.DUMMYFUNCTION("""COMPUTED_VALUE"""),"Germany")</f>
        <v>Germany</v>
      </c>
      <c r="K20" s="6" t="str">
        <f>IFERROR(__xludf.DUMMYFUNCTION("""COMPUTED_VALUE"""),"Basic")</f>
        <v>Basic</v>
      </c>
      <c r="L20" s="6">
        <f>IFERROR(__xludf.DUMMYFUNCTION("""COMPUTED_VALUE"""),0.0)</f>
        <v>0</v>
      </c>
      <c r="M20" s="6" t="str">
        <f>IFERROR(__xludf.DUMMYFUNCTION("""COMPUTED_VALUE"""),"2023-05")</f>
        <v>2023-05</v>
      </c>
    </row>
    <row r="21">
      <c r="A21" s="6" t="str">
        <f>IFERROR(__xludf.DUMMYFUNCTION("""COMPUTED_VALUE"""),"7a860be2-35cb-4e44-9282-f2cc390ab629")</f>
        <v>7a860be2-35cb-4e44-9282-f2cc390ab629</v>
      </c>
      <c r="B21" s="6" t="str">
        <f>IFERROR(__xludf.DUMMYFUNCTION("""COMPUTED_VALUE"""),"04b8f1f2-1847-46e7-8ff2-9be8507512a5")</f>
        <v>04b8f1f2-1847-46e7-8ff2-9be8507512a5</v>
      </c>
      <c r="C21" s="7">
        <f>IFERROR(__xludf.DUMMYFUNCTION("""COMPUTED_VALUE"""),44960.0)</f>
        <v>44960</v>
      </c>
      <c r="D21" s="8">
        <f>IFERROR(__xludf.DUMMYFUNCTION("""COMPUTED_VALUE"""),4.5088735E7)</f>
        <v>45088735</v>
      </c>
      <c r="E21" s="6" t="str">
        <f>IFERROR(__xludf.DUMMYFUNCTION("""COMPUTED_VALUE"""),"SERIES")</f>
        <v>SERIES</v>
      </c>
      <c r="F21" s="6" t="str">
        <f>IFERROR(__xludf.DUMMYFUNCTION("""COMPUTED_VALUE"""),"Sci-Fi")</f>
        <v>Sci-Fi</v>
      </c>
      <c r="G21" s="6">
        <f>IFERROR(__xludf.DUMMYFUNCTION("""COMPUTED_VALUE"""),142.0)</f>
        <v>142</v>
      </c>
      <c r="H21" s="6">
        <f>IFERROR(__xludf.DUMMYFUNCTION("""COMPUTED_VALUE"""),1.0)</f>
        <v>1</v>
      </c>
      <c r="I21" s="6" t="str">
        <f>IFERROR(__xludf.DUMMYFUNCTION("""COMPUTED_VALUE"""),"Smart Tv")</f>
        <v>Smart Tv</v>
      </c>
      <c r="J21" s="6" t="str">
        <f>IFERROR(__xludf.DUMMYFUNCTION("""COMPUTED_VALUE"""),"France")</f>
        <v>France</v>
      </c>
      <c r="K21" s="6" t="str">
        <f>IFERROR(__xludf.DUMMYFUNCTION("""COMPUTED_VALUE"""),"Standard")</f>
        <v>Standard</v>
      </c>
      <c r="L21" s="6">
        <f>IFERROR(__xludf.DUMMYFUNCTION("""COMPUTED_VALUE"""),0.0)</f>
        <v>0</v>
      </c>
      <c r="M21" s="6" t="str">
        <f>IFERROR(__xludf.DUMMYFUNCTION("""COMPUTED_VALUE"""),"2023-02")</f>
        <v>2023-02</v>
      </c>
    </row>
    <row r="22">
      <c r="A22" s="6" t="str">
        <f>IFERROR(__xludf.DUMMYFUNCTION("""COMPUTED_VALUE"""),"57a8f035-d2b8-4cc6-8a9b-5b1d7baa138d")</f>
        <v>57a8f035-d2b8-4cc6-8a9b-5b1d7baa138d</v>
      </c>
      <c r="B22" s="6" t="str">
        <f>IFERROR(__xludf.DUMMYFUNCTION("""COMPUTED_VALUE"""),"05baa9a7-3df7-4f97-a8a9-6531548f00ba")</f>
        <v>05baa9a7-3df7-4f97-a8a9-6531548f00ba</v>
      </c>
      <c r="C22" s="7">
        <f>IFERROR(__xludf.DUMMYFUNCTION("""COMPUTED_VALUE"""),45248.0)</f>
        <v>45248</v>
      </c>
      <c r="D22" s="8">
        <f>IFERROR(__xludf.DUMMYFUNCTION("""COMPUTED_VALUE"""),9067271.0)</f>
        <v>9067271</v>
      </c>
      <c r="E22" s="6" t="str">
        <f>IFERROR(__xludf.DUMMYFUNCTION("""COMPUTED_VALUE"""),"MOVIE")</f>
        <v>MOVIE</v>
      </c>
      <c r="F22" s="6" t="str">
        <f>IFERROR(__xludf.DUMMYFUNCTION("""COMPUTED_VALUE"""),"Comedy")</f>
        <v>Comedy</v>
      </c>
      <c r="G22" s="6">
        <f>IFERROR(__xludf.DUMMYFUNCTION("""COMPUTED_VALUE"""),39.0)</f>
        <v>39</v>
      </c>
      <c r="H22" s="6">
        <f>IFERROR(__xludf.DUMMYFUNCTION("""COMPUTED_VALUE"""),0.0)</f>
        <v>0</v>
      </c>
      <c r="I22" s="6" t="str">
        <f>IFERROR(__xludf.DUMMYFUNCTION("""COMPUTED_VALUE"""),"Tablet")</f>
        <v>Tablet</v>
      </c>
      <c r="J22" s="6" t="str">
        <f>IFERROR(__xludf.DUMMYFUNCTION("""COMPUTED_VALUE"""),"France")</f>
        <v>France</v>
      </c>
      <c r="K22" s="6" t="str">
        <f>IFERROR(__xludf.DUMMYFUNCTION("""COMPUTED_VALUE"""),"Standard")</f>
        <v>Standard</v>
      </c>
      <c r="L22" s="6">
        <f>IFERROR(__xludf.DUMMYFUNCTION("""COMPUTED_VALUE"""),0.0)</f>
        <v>0</v>
      </c>
      <c r="M22" s="6" t="str">
        <f>IFERROR(__xludf.DUMMYFUNCTION("""COMPUTED_VALUE"""),"2023-11")</f>
        <v>2023-11</v>
      </c>
    </row>
    <row r="23">
      <c r="A23" s="6" t="str">
        <f>IFERROR(__xludf.DUMMYFUNCTION("""COMPUTED_VALUE"""),"8e914e60-2af1-4108-8e06-13451afd64a1")</f>
        <v>8e914e60-2af1-4108-8e06-13451afd64a1</v>
      </c>
      <c r="B23" s="6" t="str">
        <f>IFERROR(__xludf.DUMMYFUNCTION("""COMPUTED_VALUE"""),"0603e441-3007-4501-8fa3-4543b36c117a")</f>
        <v>0603e441-3007-4501-8fa3-4543b36c117a</v>
      </c>
      <c r="C23" s="7">
        <f>IFERROR(__xludf.DUMMYFUNCTION("""COMPUTED_VALUE"""),45047.0)</f>
        <v>45047</v>
      </c>
      <c r="D23" s="8">
        <f>IFERROR(__xludf.DUMMYFUNCTION("""COMPUTED_VALUE"""),7.2660171E7)</f>
        <v>72660171</v>
      </c>
      <c r="E23" s="6" t="str">
        <f>IFERROR(__xludf.DUMMYFUNCTION("""COMPUTED_VALUE"""),"SERIES")</f>
        <v>SERIES</v>
      </c>
      <c r="F23" s="6" t="str">
        <f>IFERROR(__xludf.DUMMYFUNCTION("""COMPUTED_VALUE"""),"Action")</f>
        <v>Action</v>
      </c>
      <c r="G23" s="6">
        <f>IFERROR(__xludf.DUMMYFUNCTION("""COMPUTED_VALUE"""),89.0)</f>
        <v>89</v>
      </c>
      <c r="H23" s="6">
        <f>IFERROR(__xludf.DUMMYFUNCTION("""COMPUTED_VALUE"""),1.0)</f>
        <v>1</v>
      </c>
      <c r="I23" s="6" t="str">
        <f>IFERROR(__xludf.DUMMYFUNCTION("""COMPUTED_VALUE"""),"Tablet")</f>
        <v>Tablet</v>
      </c>
      <c r="J23" s="6" t="str">
        <f>IFERROR(__xludf.DUMMYFUNCTION("""COMPUTED_VALUE"""),"France")</f>
        <v>France</v>
      </c>
      <c r="K23" s="6" t="str">
        <f>IFERROR(__xludf.DUMMYFUNCTION("""COMPUTED_VALUE"""),"Standard")</f>
        <v>Standard</v>
      </c>
      <c r="L23" s="6">
        <f>IFERROR(__xludf.DUMMYFUNCTION("""COMPUTED_VALUE"""),0.0)</f>
        <v>0</v>
      </c>
      <c r="M23" s="6" t="str">
        <f>IFERROR(__xludf.DUMMYFUNCTION("""COMPUTED_VALUE"""),"2023-05")</f>
        <v>2023-05</v>
      </c>
    </row>
    <row r="24">
      <c r="A24" s="6" t="str">
        <f>IFERROR(__xludf.DUMMYFUNCTION("""COMPUTED_VALUE"""),"0b9d0223-4054-4cb4-996f-e97d9e268ce0")</f>
        <v>0b9d0223-4054-4cb4-996f-e97d9e268ce0</v>
      </c>
      <c r="B24" s="6" t="str">
        <f>IFERROR(__xludf.DUMMYFUNCTION("""COMPUTED_VALUE"""),"060c062e-86b3-48f8-bd92-2f27954e1d4b")</f>
        <v>060c062e-86b3-48f8-bd92-2f27954e1d4b</v>
      </c>
      <c r="C24" s="7">
        <f>IFERROR(__xludf.DUMMYFUNCTION("""COMPUTED_VALUE"""),45215.0)</f>
        <v>45215</v>
      </c>
      <c r="D24" s="8">
        <f>IFERROR(__xludf.DUMMYFUNCTION("""COMPUTED_VALUE"""),8.4342195E7)</f>
        <v>84342195</v>
      </c>
      <c r="E24" s="6" t="str">
        <f>IFERROR(__xludf.DUMMYFUNCTION("""COMPUTED_VALUE"""),"SERIES")</f>
        <v>SERIES</v>
      </c>
      <c r="F24" s="6" t="str">
        <f>IFERROR(__xludf.DUMMYFUNCTION("""COMPUTED_VALUE"""),"Drama")</f>
        <v>Drama</v>
      </c>
      <c r="G24" s="6">
        <f>IFERROR(__xludf.DUMMYFUNCTION("""COMPUTED_VALUE"""),119.0)</f>
        <v>119</v>
      </c>
      <c r="H24" s="6">
        <f>IFERROR(__xludf.DUMMYFUNCTION("""COMPUTED_VALUE"""),1.0)</f>
        <v>1</v>
      </c>
      <c r="I24" s="6" t="str">
        <f>IFERROR(__xludf.DUMMYFUNCTION("""COMPUTED_VALUE"""),"Tablet")</f>
        <v>Tablet</v>
      </c>
      <c r="J24" s="6" t="str">
        <f>IFERROR(__xludf.DUMMYFUNCTION("""COMPUTED_VALUE"""),"Uk")</f>
        <v>Uk</v>
      </c>
      <c r="K24" s="6" t="str">
        <f>IFERROR(__xludf.DUMMYFUNCTION("""COMPUTED_VALUE"""),"Standard")</f>
        <v>Standard</v>
      </c>
      <c r="L24" s="6">
        <f>IFERROR(__xludf.DUMMYFUNCTION("""COMPUTED_VALUE"""),0.0)</f>
        <v>0</v>
      </c>
      <c r="M24" s="6" t="str">
        <f>IFERROR(__xludf.DUMMYFUNCTION("""COMPUTED_VALUE"""),"2023-10")</f>
        <v>2023-10</v>
      </c>
    </row>
    <row r="25">
      <c r="A25" s="6" t="str">
        <f>IFERROR(__xludf.DUMMYFUNCTION("""COMPUTED_VALUE"""),"3c4edc00-6928-462f-a639-5a97b25967c0")</f>
        <v>3c4edc00-6928-462f-a639-5a97b25967c0</v>
      </c>
      <c r="B25" s="6" t="str">
        <f>IFERROR(__xludf.DUMMYFUNCTION("""COMPUTED_VALUE"""),"060db3ed-accf-4dc4-bbe4-3077f1455866")</f>
        <v>060db3ed-accf-4dc4-bbe4-3077f1455866</v>
      </c>
      <c r="C25" s="7">
        <f>IFERROR(__xludf.DUMMYFUNCTION("""COMPUTED_VALUE"""),44959.0)</f>
        <v>44959</v>
      </c>
      <c r="D25" s="8">
        <f>IFERROR(__xludf.DUMMYFUNCTION("""COMPUTED_VALUE"""),9.0834455E7)</f>
        <v>90834455</v>
      </c>
      <c r="E25" s="6" t="str">
        <f>IFERROR(__xludf.DUMMYFUNCTION("""COMPUTED_VALUE"""),"SERIES")</f>
        <v>SERIES</v>
      </c>
      <c r="F25" s="6" t="str">
        <f>IFERROR(__xludf.DUMMYFUNCTION("""COMPUTED_VALUE"""),"Drama")</f>
        <v>Drama</v>
      </c>
      <c r="G25" s="6">
        <f>IFERROR(__xludf.DUMMYFUNCTION("""COMPUTED_VALUE"""),72.0)</f>
        <v>72</v>
      </c>
      <c r="H25" s="6">
        <f>IFERROR(__xludf.DUMMYFUNCTION("""COMPUTED_VALUE"""),0.0)</f>
        <v>0</v>
      </c>
      <c r="I25" s="6" t="str">
        <f>IFERROR(__xludf.DUMMYFUNCTION("""COMPUTED_VALUE"""),"Tablet")</f>
        <v>Tablet</v>
      </c>
      <c r="J25" s="6" t="str">
        <f>IFERROR(__xludf.DUMMYFUNCTION("""COMPUTED_VALUE"""),"Uk")</f>
        <v>Uk</v>
      </c>
      <c r="K25" s="6" t="str">
        <f>IFERROR(__xludf.DUMMYFUNCTION("""COMPUTED_VALUE"""),"Premium")</f>
        <v>Premium</v>
      </c>
      <c r="L25" s="6">
        <f>IFERROR(__xludf.DUMMYFUNCTION("""COMPUTED_VALUE"""),0.0)</f>
        <v>0</v>
      </c>
      <c r="M25" s="6" t="str">
        <f>IFERROR(__xludf.DUMMYFUNCTION("""COMPUTED_VALUE"""),"2023-02")</f>
        <v>2023-02</v>
      </c>
    </row>
    <row r="26">
      <c r="A26" s="6" t="str">
        <f>IFERROR(__xludf.DUMMYFUNCTION("""COMPUTED_VALUE"""),"04714862-1cf5-4a1d-806b-40fefcde10fe")</f>
        <v>04714862-1cf5-4a1d-806b-40fefcde10fe</v>
      </c>
      <c r="B26" s="6" t="str">
        <f>IFERROR(__xludf.DUMMYFUNCTION("""COMPUTED_VALUE"""),"066c04b3-5444-4518-9d6c-e35d0af49e91")</f>
        <v>066c04b3-5444-4518-9d6c-e35d0af49e91</v>
      </c>
      <c r="C26" s="7">
        <f>IFERROR(__xludf.DUMMYFUNCTION("""COMPUTED_VALUE"""),45204.0)</f>
        <v>45204</v>
      </c>
      <c r="D26" s="8">
        <f>IFERROR(__xludf.DUMMYFUNCTION("""COMPUTED_VALUE"""),2335445.0)</f>
        <v>2335445</v>
      </c>
      <c r="E26" s="6" t="str">
        <f>IFERROR(__xludf.DUMMYFUNCTION("""COMPUTED_VALUE"""),"DOCUMENTARY")</f>
        <v>DOCUMENTARY</v>
      </c>
      <c r="F26" s="6" t="str">
        <f>IFERROR(__xludf.DUMMYFUNCTION("""COMPUTED_VALUE"""),"Drama")</f>
        <v>Drama</v>
      </c>
      <c r="G26" s="6">
        <f>IFERROR(__xludf.DUMMYFUNCTION("""COMPUTED_VALUE"""),70.0)</f>
        <v>70</v>
      </c>
      <c r="H26" s="6">
        <f>IFERROR(__xludf.DUMMYFUNCTION("""COMPUTED_VALUE"""),1.0)</f>
        <v>1</v>
      </c>
      <c r="I26" s="6" t="str">
        <f>IFERROR(__xludf.DUMMYFUNCTION("""COMPUTED_VALUE"""),"Tablet")</f>
        <v>Tablet</v>
      </c>
      <c r="J26" s="6" t="str">
        <f>IFERROR(__xludf.DUMMYFUNCTION("""COMPUTED_VALUE"""),"Usa")</f>
        <v>Usa</v>
      </c>
      <c r="K26" s="6" t="str">
        <f>IFERROR(__xludf.DUMMYFUNCTION("""COMPUTED_VALUE"""),"Basic")</f>
        <v>Basic</v>
      </c>
      <c r="L26" s="6">
        <f>IFERROR(__xludf.DUMMYFUNCTION("""COMPUTED_VALUE"""),0.0)</f>
        <v>0</v>
      </c>
      <c r="M26" s="6" t="str">
        <f>IFERROR(__xludf.DUMMYFUNCTION("""COMPUTED_VALUE"""),"2023-10")</f>
        <v>2023-10</v>
      </c>
    </row>
    <row r="27">
      <c r="A27" s="6" t="str">
        <f>IFERROR(__xludf.DUMMYFUNCTION("""COMPUTED_VALUE"""),"57ff0f59-32c9-43a4-a580-353267c016ad")</f>
        <v>57ff0f59-32c9-43a4-a580-353267c016ad</v>
      </c>
      <c r="B27" s="6" t="str">
        <f>IFERROR(__xludf.DUMMYFUNCTION("""COMPUTED_VALUE"""),"066ede0a-8277-485c-b2ab-28fcb5a897fc")</f>
        <v>066ede0a-8277-485c-b2ab-28fcb5a897fc</v>
      </c>
      <c r="C27" s="7">
        <f>IFERROR(__xludf.DUMMYFUNCTION("""COMPUTED_VALUE"""),45060.0)</f>
        <v>45060</v>
      </c>
      <c r="D27" s="8">
        <f>IFERROR(__xludf.DUMMYFUNCTION("""COMPUTED_VALUE"""),8.4234773E7)</f>
        <v>84234773</v>
      </c>
      <c r="E27" s="6" t="str">
        <f>IFERROR(__xludf.DUMMYFUNCTION("""COMPUTED_VALUE"""),"SERIES")</f>
        <v>SERIES</v>
      </c>
      <c r="F27" s="6" t="str">
        <f>IFERROR(__xludf.DUMMYFUNCTION("""COMPUTED_VALUE"""),"Comedy")</f>
        <v>Comedy</v>
      </c>
      <c r="G27" s="6">
        <f>IFERROR(__xludf.DUMMYFUNCTION("""COMPUTED_VALUE"""),81.0)</f>
        <v>81</v>
      </c>
      <c r="H27" s="6">
        <f>IFERROR(__xludf.DUMMYFUNCTION("""COMPUTED_VALUE"""),0.0)</f>
        <v>0</v>
      </c>
      <c r="I27" s="6" t="str">
        <f>IFERROR(__xludf.DUMMYFUNCTION("""COMPUTED_VALUE"""),"Mobile")</f>
        <v>Mobile</v>
      </c>
      <c r="J27" s="6" t="str">
        <f>IFERROR(__xludf.DUMMYFUNCTION("""COMPUTED_VALUE"""),"Usa")</f>
        <v>Usa</v>
      </c>
      <c r="K27" s="6" t="str">
        <f>IFERROR(__xludf.DUMMYFUNCTION("""COMPUTED_VALUE"""),"Standard")</f>
        <v>Standard</v>
      </c>
      <c r="L27" s="6">
        <f>IFERROR(__xludf.DUMMYFUNCTION("""COMPUTED_VALUE"""),0.0)</f>
        <v>0</v>
      </c>
      <c r="M27" s="6" t="str">
        <f>IFERROR(__xludf.DUMMYFUNCTION("""COMPUTED_VALUE"""),"2023-05")</f>
        <v>2023-05</v>
      </c>
    </row>
    <row r="28">
      <c r="A28" s="6" t="str">
        <f>IFERROR(__xludf.DUMMYFUNCTION("""COMPUTED_VALUE"""),"d3189500-377f-4e47-add8-914e54b71ee9")</f>
        <v>d3189500-377f-4e47-add8-914e54b71ee9</v>
      </c>
      <c r="B28" s="6" t="str">
        <f>IFERROR(__xludf.DUMMYFUNCTION("""COMPUTED_VALUE"""),"074c4020-c74b-423f-a374-1b8dd7b5f8ff")</f>
        <v>074c4020-c74b-423f-a374-1b8dd7b5f8ff</v>
      </c>
      <c r="C28" s="7">
        <f>IFERROR(__xludf.DUMMYFUNCTION("""COMPUTED_VALUE"""),44988.0)</f>
        <v>44988</v>
      </c>
      <c r="D28" s="8">
        <f>IFERROR(__xludf.DUMMYFUNCTION("""COMPUTED_VALUE"""),1.8206746E7)</f>
        <v>18206746</v>
      </c>
      <c r="E28" s="6" t="str">
        <f>IFERROR(__xludf.DUMMYFUNCTION("""COMPUTED_VALUE"""),"DOCUMENTARY")</f>
        <v>DOCUMENTARY</v>
      </c>
      <c r="F28" s="6" t="str">
        <f>IFERROR(__xludf.DUMMYFUNCTION("""COMPUTED_VALUE"""),"Thriller")</f>
        <v>Thriller</v>
      </c>
      <c r="G28" s="6">
        <f>IFERROR(__xludf.DUMMYFUNCTION("""COMPUTED_VALUE"""),95.0)</f>
        <v>95</v>
      </c>
      <c r="H28" s="6">
        <f>IFERROR(__xludf.DUMMYFUNCTION("""COMPUTED_VALUE"""),1.0)</f>
        <v>1</v>
      </c>
      <c r="I28" s="6" t="str">
        <f>IFERROR(__xludf.DUMMYFUNCTION("""COMPUTED_VALUE"""),"Tablet")</f>
        <v>Tablet</v>
      </c>
      <c r="J28" s="6" t="str">
        <f>IFERROR(__xludf.DUMMYFUNCTION("""COMPUTED_VALUE"""),"Usa")</f>
        <v>Usa</v>
      </c>
      <c r="K28" s="6" t="str">
        <f>IFERROR(__xludf.DUMMYFUNCTION("""COMPUTED_VALUE"""),"Standard")</f>
        <v>Standard</v>
      </c>
      <c r="L28" s="6">
        <f>IFERROR(__xludf.DUMMYFUNCTION("""COMPUTED_VALUE"""),0.0)</f>
        <v>0</v>
      </c>
      <c r="M28" s="6" t="str">
        <f>IFERROR(__xludf.DUMMYFUNCTION("""COMPUTED_VALUE"""),"2023-03")</f>
        <v>2023-03</v>
      </c>
    </row>
    <row r="29">
      <c r="A29" s="6" t="str">
        <f>IFERROR(__xludf.DUMMYFUNCTION("""COMPUTED_VALUE"""),"35d74923-c983-453c-bcf9-cb1aa31f5461")</f>
        <v>35d74923-c983-453c-bcf9-cb1aa31f5461</v>
      </c>
      <c r="B29" s="6" t="str">
        <f>IFERROR(__xludf.DUMMYFUNCTION("""COMPUTED_VALUE"""),"07661109-02b4-4eda-b300-49e7eb582681")</f>
        <v>07661109-02b4-4eda-b300-49e7eb582681</v>
      </c>
      <c r="C29" s="7">
        <f>IFERROR(__xludf.DUMMYFUNCTION("""COMPUTED_VALUE"""),44931.0)</f>
        <v>44931</v>
      </c>
      <c r="D29" s="8">
        <f>IFERROR(__xludf.DUMMYFUNCTION("""COMPUTED_VALUE"""),6.502216E7)</f>
        <v>65022160</v>
      </c>
      <c r="E29" s="6" t="str">
        <f>IFERROR(__xludf.DUMMYFUNCTION("""COMPUTED_VALUE"""),"DOCUMENTARY")</f>
        <v>DOCUMENTARY</v>
      </c>
      <c r="F29" s="6" t="str">
        <f>IFERROR(__xludf.DUMMYFUNCTION("""COMPUTED_VALUE"""),"Drama")</f>
        <v>Drama</v>
      </c>
      <c r="G29" s="6">
        <f>IFERROR(__xludf.DUMMYFUNCTION("""COMPUTED_VALUE"""),44.0)</f>
        <v>44</v>
      </c>
      <c r="H29" s="6">
        <f>IFERROR(__xludf.DUMMYFUNCTION("""COMPUTED_VALUE"""),1.0)</f>
        <v>1</v>
      </c>
      <c r="I29" s="6" t="str">
        <f>IFERROR(__xludf.DUMMYFUNCTION("""COMPUTED_VALUE"""),"Tablet")</f>
        <v>Tablet</v>
      </c>
      <c r="J29" s="6" t="str">
        <f>IFERROR(__xludf.DUMMYFUNCTION("""COMPUTED_VALUE"""),"India")</f>
        <v>India</v>
      </c>
      <c r="K29" s="6" t="str">
        <f>IFERROR(__xludf.DUMMYFUNCTION("""COMPUTED_VALUE"""),"Basic")</f>
        <v>Basic</v>
      </c>
      <c r="L29" s="6">
        <f>IFERROR(__xludf.DUMMYFUNCTION("""COMPUTED_VALUE"""),0.0)</f>
        <v>0</v>
      </c>
      <c r="M29" s="6" t="str">
        <f>IFERROR(__xludf.DUMMYFUNCTION("""COMPUTED_VALUE"""),"2023-01")</f>
        <v>2023-01</v>
      </c>
    </row>
    <row r="30">
      <c r="A30" s="6" t="str">
        <f>IFERROR(__xludf.DUMMYFUNCTION("""COMPUTED_VALUE"""),"b540bbdd-3421-4505-8bad-5842b0c7e10e")</f>
        <v>b540bbdd-3421-4505-8bad-5842b0c7e10e</v>
      </c>
      <c r="B30" s="6" t="str">
        <f>IFERROR(__xludf.DUMMYFUNCTION("""COMPUTED_VALUE"""),"076fdbae-fbb2-4573-9757-e9e8d6ee7a6c")</f>
        <v>076fdbae-fbb2-4573-9757-e9e8d6ee7a6c</v>
      </c>
      <c r="C30" s="7">
        <f>IFERROR(__xludf.DUMMYFUNCTION("""COMPUTED_VALUE"""),45152.0)</f>
        <v>45152</v>
      </c>
      <c r="D30" s="8">
        <f>IFERROR(__xludf.DUMMYFUNCTION("""COMPUTED_VALUE"""),9.552151E7)</f>
        <v>95521510</v>
      </c>
      <c r="E30" s="6" t="str">
        <f>IFERROR(__xludf.DUMMYFUNCTION("""COMPUTED_VALUE"""),"DOCUMENTARY")</f>
        <v>DOCUMENTARY</v>
      </c>
      <c r="F30" s="6" t="str">
        <f>IFERROR(__xludf.DUMMYFUNCTION("""COMPUTED_VALUE"""),"Sci-Fi")</f>
        <v>Sci-Fi</v>
      </c>
      <c r="G30" s="6">
        <f>IFERROR(__xludf.DUMMYFUNCTION("""COMPUTED_VALUE"""),42.0)</f>
        <v>42</v>
      </c>
      <c r="H30" s="6">
        <f>IFERROR(__xludf.DUMMYFUNCTION("""COMPUTED_VALUE"""),1.0)</f>
        <v>1</v>
      </c>
      <c r="I30" s="6" t="str">
        <f>IFERROR(__xludf.DUMMYFUNCTION("""COMPUTED_VALUE"""),"Tablet")</f>
        <v>Tablet</v>
      </c>
      <c r="J30" s="6" t="str">
        <f>IFERROR(__xludf.DUMMYFUNCTION("""COMPUTED_VALUE"""),"Usa")</f>
        <v>Usa</v>
      </c>
      <c r="K30" s="6" t="str">
        <f>IFERROR(__xludf.DUMMYFUNCTION("""COMPUTED_VALUE"""),"Premium")</f>
        <v>Premium</v>
      </c>
      <c r="L30" s="6">
        <f>IFERROR(__xludf.DUMMYFUNCTION("""COMPUTED_VALUE"""),0.0)</f>
        <v>0</v>
      </c>
      <c r="M30" s="6" t="str">
        <f>IFERROR(__xludf.DUMMYFUNCTION("""COMPUTED_VALUE"""),"2023-08")</f>
        <v>2023-08</v>
      </c>
    </row>
    <row r="31">
      <c r="A31" s="6" t="str">
        <f>IFERROR(__xludf.DUMMYFUNCTION("""COMPUTED_VALUE"""),"0b31eed4-42d1-4e27-a7d3-c6611f0b3735")</f>
        <v>0b31eed4-42d1-4e27-a7d3-c6611f0b3735</v>
      </c>
      <c r="B31" s="6" t="str">
        <f>IFERROR(__xludf.DUMMYFUNCTION("""COMPUTED_VALUE"""),"07f97a7f-7e14-4190-8b12-561b6fa3f946")</f>
        <v>07f97a7f-7e14-4190-8b12-561b6fa3f946</v>
      </c>
      <c r="C31" s="7">
        <f>IFERROR(__xludf.DUMMYFUNCTION("""COMPUTED_VALUE"""),44968.0)</f>
        <v>44968</v>
      </c>
      <c r="D31" s="8">
        <f>IFERROR(__xludf.DUMMYFUNCTION("""COMPUTED_VALUE"""),8.8758541E7)</f>
        <v>88758541</v>
      </c>
      <c r="E31" s="6" t="str">
        <f>IFERROR(__xludf.DUMMYFUNCTION("""COMPUTED_VALUE"""),"MOVIE")</f>
        <v>MOVIE</v>
      </c>
      <c r="F31" s="6" t="str">
        <f>IFERROR(__xludf.DUMMYFUNCTION("""COMPUTED_VALUE"""),"Drama")</f>
        <v>Drama</v>
      </c>
      <c r="G31" s="6">
        <f>IFERROR(__xludf.DUMMYFUNCTION("""COMPUTED_VALUE"""),163.0)</f>
        <v>163</v>
      </c>
      <c r="H31" s="6">
        <f>IFERROR(__xludf.DUMMYFUNCTION("""COMPUTED_VALUE"""),1.0)</f>
        <v>1</v>
      </c>
      <c r="I31" s="6" t="str">
        <f>IFERROR(__xludf.DUMMYFUNCTION("""COMPUTED_VALUE"""),"Mobile")</f>
        <v>Mobile</v>
      </c>
      <c r="J31" s="6" t="str">
        <f>IFERROR(__xludf.DUMMYFUNCTION("""COMPUTED_VALUE"""),"India")</f>
        <v>India</v>
      </c>
      <c r="K31" s="6" t="str">
        <f>IFERROR(__xludf.DUMMYFUNCTION("""COMPUTED_VALUE"""),"Premium")</f>
        <v>Premium</v>
      </c>
      <c r="L31" s="6">
        <f>IFERROR(__xludf.DUMMYFUNCTION("""COMPUTED_VALUE"""),0.0)</f>
        <v>0</v>
      </c>
      <c r="M31" s="6" t="str">
        <f>IFERROR(__xludf.DUMMYFUNCTION("""COMPUTED_VALUE"""),"2023-02")</f>
        <v>2023-02</v>
      </c>
    </row>
    <row r="32">
      <c r="A32" s="6" t="str">
        <f>IFERROR(__xludf.DUMMYFUNCTION("""COMPUTED_VALUE"""),"8230088e-4b29-43f3-bd2c-1e7e359aca20")</f>
        <v>8230088e-4b29-43f3-bd2c-1e7e359aca20</v>
      </c>
      <c r="B32" s="6" t="str">
        <f>IFERROR(__xludf.DUMMYFUNCTION("""COMPUTED_VALUE"""),"0877a70f-a107-4dd2-93a5-e8de40eb3039")</f>
        <v>0877a70f-a107-4dd2-93a5-e8de40eb3039</v>
      </c>
      <c r="C32" s="7">
        <f>IFERROR(__xludf.DUMMYFUNCTION("""COMPUTED_VALUE"""),44948.0)</f>
        <v>44948</v>
      </c>
      <c r="D32" s="8">
        <f>IFERROR(__xludf.DUMMYFUNCTION("""COMPUTED_VALUE"""),1.0083987E7)</f>
        <v>10083987</v>
      </c>
      <c r="E32" s="6" t="str">
        <f>IFERROR(__xludf.DUMMYFUNCTION("""COMPUTED_VALUE"""),"DOCUMENTARY")</f>
        <v>DOCUMENTARY</v>
      </c>
      <c r="F32" s="6" t="str">
        <f>IFERROR(__xludf.DUMMYFUNCTION("""COMPUTED_VALUE"""),"Thriller")</f>
        <v>Thriller</v>
      </c>
      <c r="G32" s="6">
        <f>IFERROR(__xludf.DUMMYFUNCTION("""COMPUTED_VALUE"""),112.0)</f>
        <v>112</v>
      </c>
      <c r="H32" s="6">
        <f>IFERROR(__xludf.DUMMYFUNCTION("""COMPUTED_VALUE"""),0.0)</f>
        <v>0</v>
      </c>
      <c r="I32" s="6" t="str">
        <f>IFERROR(__xludf.DUMMYFUNCTION("""COMPUTED_VALUE"""),"Mobile")</f>
        <v>Mobile</v>
      </c>
      <c r="J32" s="6" t="str">
        <f>IFERROR(__xludf.DUMMYFUNCTION("""COMPUTED_VALUE"""),"Uk")</f>
        <v>Uk</v>
      </c>
      <c r="K32" s="6" t="str">
        <f>IFERROR(__xludf.DUMMYFUNCTION("""COMPUTED_VALUE"""),"Premium")</f>
        <v>Premium</v>
      </c>
      <c r="L32" s="6">
        <f>IFERROR(__xludf.DUMMYFUNCTION("""COMPUTED_VALUE"""),1.0)</f>
        <v>1</v>
      </c>
      <c r="M32" s="6" t="str">
        <f>IFERROR(__xludf.DUMMYFUNCTION("""COMPUTED_VALUE"""),"2023-01")</f>
        <v>2023-01</v>
      </c>
    </row>
    <row r="33">
      <c r="A33" s="6" t="str">
        <f>IFERROR(__xludf.DUMMYFUNCTION("""COMPUTED_VALUE"""),"2fdc0e72-9c74-4612-a4de-ede9a173d9de")</f>
        <v>2fdc0e72-9c74-4612-a4de-ede9a173d9de</v>
      </c>
      <c r="B33" s="6" t="str">
        <f>IFERROR(__xludf.DUMMYFUNCTION("""COMPUTED_VALUE"""),"08a0ad10-7349-423b-b022-42cc2bdb3f0c")</f>
        <v>08a0ad10-7349-423b-b022-42cc2bdb3f0c</v>
      </c>
      <c r="C33" s="7">
        <f>IFERROR(__xludf.DUMMYFUNCTION("""COMPUTED_VALUE"""),44939.0)</f>
        <v>44939</v>
      </c>
      <c r="D33" s="8">
        <f>IFERROR(__xludf.DUMMYFUNCTION("""COMPUTED_VALUE"""),8.1844029E7)</f>
        <v>81844029</v>
      </c>
      <c r="E33" s="6" t="str">
        <f>IFERROR(__xludf.DUMMYFUNCTION("""COMPUTED_VALUE"""),"MOVIE")</f>
        <v>MOVIE</v>
      </c>
      <c r="F33" s="6" t="str">
        <f>IFERROR(__xludf.DUMMYFUNCTION("""COMPUTED_VALUE"""),"Sci-Fi")</f>
        <v>Sci-Fi</v>
      </c>
      <c r="G33" s="6">
        <f>IFERROR(__xludf.DUMMYFUNCTION("""COMPUTED_VALUE"""),93.0)</f>
        <v>93</v>
      </c>
      <c r="H33" s="6">
        <f>IFERROR(__xludf.DUMMYFUNCTION("""COMPUTED_VALUE"""),0.0)</f>
        <v>0</v>
      </c>
      <c r="I33" s="6" t="str">
        <f>IFERROR(__xludf.DUMMYFUNCTION("""COMPUTED_VALUE"""),"Tablet")</f>
        <v>Tablet</v>
      </c>
      <c r="J33" s="6" t="str">
        <f>IFERROR(__xludf.DUMMYFUNCTION("""COMPUTED_VALUE"""),"France")</f>
        <v>France</v>
      </c>
      <c r="K33" s="6" t="str">
        <f>IFERROR(__xludf.DUMMYFUNCTION("""COMPUTED_VALUE"""),"Premium")</f>
        <v>Premium</v>
      </c>
      <c r="L33" s="6">
        <f>IFERROR(__xludf.DUMMYFUNCTION("""COMPUTED_VALUE"""),0.0)</f>
        <v>0</v>
      </c>
      <c r="M33" s="6" t="str">
        <f>IFERROR(__xludf.DUMMYFUNCTION("""COMPUTED_VALUE"""),"2023-01")</f>
        <v>2023-01</v>
      </c>
    </row>
    <row r="34">
      <c r="A34" s="6" t="str">
        <f>IFERROR(__xludf.DUMMYFUNCTION("""COMPUTED_VALUE"""),"eb2be416-7643-4a83-92c6-8435d8cf09e5")</f>
        <v>eb2be416-7643-4a83-92c6-8435d8cf09e5</v>
      </c>
      <c r="B34" s="6" t="str">
        <f>IFERROR(__xludf.DUMMYFUNCTION("""COMPUTED_VALUE"""),"08d04616-2ec7-41e1-89eb-4cd506aa5daf")</f>
        <v>08d04616-2ec7-41e1-89eb-4cd506aa5daf</v>
      </c>
      <c r="C34" s="7">
        <f>IFERROR(__xludf.DUMMYFUNCTION("""COMPUTED_VALUE"""),45254.0)</f>
        <v>45254</v>
      </c>
      <c r="D34" s="8">
        <f>IFERROR(__xludf.DUMMYFUNCTION("""COMPUTED_VALUE"""),1.2353033E7)</f>
        <v>12353033</v>
      </c>
      <c r="E34" s="6" t="str">
        <f>IFERROR(__xludf.DUMMYFUNCTION("""COMPUTED_VALUE"""),"DOCUMENTARY")</f>
        <v>DOCUMENTARY</v>
      </c>
      <c r="F34" s="6" t="str">
        <f>IFERROR(__xludf.DUMMYFUNCTION("""COMPUTED_VALUE"""),"Drama")</f>
        <v>Drama</v>
      </c>
      <c r="G34" s="6">
        <f>IFERROR(__xludf.DUMMYFUNCTION("""COMPUTED_VALUE"""),112.0)</f>
        <v>112</v>
      </c>
      <c r="H34" s="6">
        <f>IFERROR(__xludf.DUMMYFUNCTION("""COMPUTED_VALUE"""),1.0)</f>
        <v>1</v>
      </c>
      <c r="I34" s="6" t="str">
        <f>IFERROR(__xludf.DUMMYFUNCTION("""COMPUTED_VALUE"""),"Tablet")</f>
        <v>Tablet</v>
      </c>
      <c r="J34" s="6" t="str">
        <f>IFERROR(__xludf.DUMMYFUNCTION("""COMPUTED_VALUE"""),"France")</f>
        <v>France</v>
      </c>
      <c r="K34" s="6" t="str">
        <f>IFERROR(__xludf.DUMMYFUNCTION("""COMPUTED_VALUE"""),"Standard")</f>
        <v>Standard</v>
      </c>
      <c r="L34" s="6">
        <f>IFERROR(__xludf.DUMMYFUNCTION("""COMPUTED_VALUE"""),0.0)</f>
        <v>0</v>
      </c>
      <c r="M34" s="6" t="str">
        <f>IFERROR(__xludf.DUMMYFUNCTION("""COMPUTED_VALUE"""),"2023-11")</f>
        <v>2023-11</v>
      </c>
    </row>
    <row r="35">
      <c r="A35" s="6" t="str">
        <f>IFERROR(__xludf.DUMMYFUNCTION("""COMPUTED_VALUE"""),"f2efa5e8-17b5-4b40-8838-51f3d8455428")</f>
        <v>f2efa5e8-17b5-4b40-8838-51f3d8455428</v>
      </c>
      <c r="B35" s="6" t="str">
        <f>IFERROR(__xludf.DUMMYFUNCTION("""COMPUTED_VALUE"""),"095d5173-1763-4654-9954-0c61e4c0cf58")</f>
        <v>095d5173-1763-4654-9954-0c61e4c0cf58</v>
      </c>
      <c r="C35" s="7">
        <f>IFERROR(__xludf.DUMMYFUNCTION("""COMPUTED_VALUE"""),44953.0)</f>
        <v>44953</v>
      </c>
      <c r="D35" s="8">
        <f>IFERROR(__xludf.DUMMYFUNCTION("""COMPUTED_VALUE"""),9.5007076E7)</f>
        <v>95007076</v>
      </c>
      <c r="E35" s="6" t="str">
        <f>IFERROR(__xludf.DUMMYFUNCTION("""COMPUTED_VALUE"""),"SERIES")</f>
        <v>SERIES</v>
      </c>
      <c r="F35" s="6" t="str">
        <f>IFERROR(__xludf.DUMMYFUNCTION("""COMPUTED_VALUE"""),"Action")</f>
        <v>Action</v>
      </c>
      <c r="G35" s="6">
        <f>IFERROR(__xludf.DUMMYFUNCTION("""COMPUTED_VALUE"""),113.0)</f>
        <v>113</v>
      </c>
      <c r="H35" s="6">
        <f>IFERROR(__xludf.DUMMYFUNCTION("""COMPUTED_VALUE"""),1.0)</f>
        <v>1</v>
      </c>
      <c r="I35" s="6" t="str">
        <f>IFERROR(__xludf.DUMMYFUNCTION("""COMPUTED_VALUE"""),"Mobile")</f>
        <v>Mobile</v>
      </c>
      <c r="J35" s="6" t="str">
        <f>IFERROR(__xludf.DUMMYFUNCTION("""COMPUTED_VALUE"""),"Uk")</f>
        <v>Uk</v>
      </c>
      <c r="K35" s="6" t="str">
        <f>IFERROR(__xludf.DUMMYFUNCTION("""COMPUTED_VALUE"""),"Basic")</f>
        <v>Basic</v>
      </c>
      <c r="L35" s="6">
        <f>IFERROR(__xludf.DUMMYFUNCTION("""COMPUTED_VALUE"""),0.0)</f>
        <v>0</v>
      </c>
      <c r="M35" s="6" t="str">
        <f>IFERROR(__xludf.DUMMYFUNCTION("""COMPUTED_VALUE"""),"2023-01")</f>
        <v>2023-01</v>
      </c>
    </row>
    <row r="36">
      <c r="A36" s="6" t="str">
        <f>IFERROR(__xludf.DUMMYFUNCTION("""COMPUTED_VALUE"""),"cc8f2e5b-fc3b-4ab7-8b89-ba42095b8ec0")</f>
        <v>cc8f2e5b-fc3b-4ab7-8b89-ba42095b8ec0</v>
      </c>
      <c r="B36" s="6" t="str">
        <f>IFERROR(__xludf.DUMMYFUNCTION("""COMPUTED_VALUE"""),"09d77150-abff-4a25-909e-e5ba1af6b2cb")</f>
        <v>09d77150-abff-4a25-909e-e5ba1af6b2cb</v>
      </c>
      <c r="C36" s="7">
        <f>IFERROR(__xludf.DUMMYFUNCTION("""COMPUTED_VALUE"""),44938.0)</f>
        <v>44938</v>
      </c>
      <c r="D36" s="8">
        <f>IFERROR(__xludf.DUMMYFUNCTION("""COMPUTED_VALUE"""),8.7744545E7)</f>
        <v>87744545</v>
      </c>
      <c r="E36" s="6" t="str">
        <f>IFERROR(__xludf.DUMMYFUNCTION("""COMPUTED_VALUE"""),"DOCUMENTARY")</f>
        <v>DOCUMENTARY</v>
      </c>
      <c r="F36" s="6" t="str">
        <f>IFERROR(__xludf.DUMMYFUNCTION("""COMPUTED_VALUE"""),"Thriller")</f>
        <v>Thriller</v>
      </c>
      <c r="G36" s="6">
        <f>IFERROR(__xludf.DUMMYFUNCTION("""COMPUTED_VALUE"""),170.0)</f>
        <v>170</v>
      </c>
      <c r="H36" s="6">
        <f>IFERROR(__xludf.DUMMYFUNCTION("""COMPUTED_VALUE"""),1.0)</f>
        <v>1</v>
      </c>
      <c r="I36" s="6" t="str">
        <f>IFERROR(__xludf.DUMMYFUNCTION("""COMPUTED_VALUE"""),"Mobile")</f>
        <v>Mobile</v>
      </c>
      <c r="J36" s="6" t="str">
        <f>IFERROR(__xludf.DUMMYFUNCTION("""COMPUTED_VALUE"""),"France")</f>
        <v>France</v>
      </c>
      <c r="K36" s="6" t="str">
        <f>IFERROR(__xludf.DUMMYFUNCTION("""COMPUTED_VALUE"""),"Premium")</f>
        <v>Premium</v>
      </c>
      <c r="L36" s="6">
        <f>IFERROR(__xludf.DUMMYFUNCTION("""COMPUTED_VALUE"""),0.0)</f>
        <v>0</v>
      </c>
      <c r="M36" s="6" t="str">
        <f>IFERROR(__xludf.DUMMYFUNCTION("""COMPUTED_VALUE"""),"2023-01")</f>
        <v>2023-01</v>
      </c>
    </row>
    <row r="37">
      <c r="A37" s="6" t="str">
        <f>IFERROR(__xludf.DUMMYFUNCTION("""COMPUTED_VALUE"""),"ba39c558-577b-48d4-a010-277eba6e30bf")</f>
        <v>ba39c558-577b-48d4-a010-277eba6e30bf</v>
      </c>
      <c r="B37" s="6" t="str">
        <f>IFERROR(__xludf.DUMMYFUNCTION("""COMPUTED_VALUE"""),"09ea5855-8aca-4842-a620-7adcb2a5223e")</f>
        <v>09ea5855-8aca-4842-a620-7adcb2a5223e</v>
      </c>
      <c r="C37" s="7">
        <f>IFERROR(__xludf.DUMMYFUNCTION("""COMPUTED_VALUE"""),45185.0)</f>
        <v>45185</v>
      </c>
      <c r="D37" s="8">
        <f>IFERROR(__xludf.DUMMYFUNCTION("""COMPUTED_VALUE"""),7.9348898E7)</f>
        <v>79348898</v>
      </c>
      <c r="E37" s="6" t="str">
        <f>IFERROR(__xludf.DUMMYFUNCTION("""COMPUTED_VALUE"""),"SERIES")</f>
        <v>SERIES</v>
      </c>
      <c r="F37" s="6" t="str">
        <f>IFERROR(__xludf.DUMMYFUNCTION("""COMPUTED_VALUE"""),"Comedy")</f>
        <v>Comedy</v>
      </c>
      <c r="G37" s="6">
        <f>IFERROR(__xludf.DUMMYFUNCTION("""COMPUTED_VALUE"""),54.0)</f>
        <v>54</v>
      </c>
      <c r="H37" s="6">
        <f>IFERROR(__xludf.DUMMYFUNCTION("""COMPUTED_VALUE"""),1.0)</f>
        <v>1</v>
      </c>
      <c r="I37" s="6" t="str">
        <f>IFERROR(__xludf.DUMMYFUNCTION("""COMPUTED_VALUE"""),"Desktop")</f>
        <v>Desktop</v>
      </c>
      <c r="J37" s="6" t="str">
        <f>IFERROR(__xludf.DUMMYFUNCTION("""COMPUTED_VALUE"""),"France")</f>
        <v>France</v>
      </c>
      <c r="K37" s="6" t="str">
        <f>IFERROR(__xludf.DUMMYFUNCTION("""COMPUTED_VALUE"""),"Standard")</f>
        <v>Standard</v>
      </c>
      <c r="L37" s="6">
        <f>IFERROR(__xludf.DUMMYFUNCTION("""COMPUTED_VALUE"""),0.0)</f>
        <v>0</v>
      </c>
      <c r="M37" s="6" t="str">
        <f>IFERROR(__xludf.DUMMYFUNCTION("""COMPUTED_VALUE"""),"2023-09")</f>
        <v>2023-09</v>
      </c>
    </row>
    <row r="38">
      <c r="A38" s="6" t="str">
        <f>IFERROR(__xludf.DUMMYFUNCTION("""COMPUTED_VALUE"""),"7f232de8-e289-452d-a0c4-927d05e5ca2f")</f>
        <v>7f232de8-e289-452d-a0c4-927d05e5ca2f</v>
      </c>
      <c r="B38" s="6" t="str">
        <f>IFERROR(__xludf.DUMMYFUNCTION("""COMPUTED_VALUE"""),"0a2682bb-74b5-464f-a955-c716ab48dd11")</f>
        <v>0a2682bb-74b5-464f-a955-c716ab48dd11</v>
      </c>
      <c r="C38" s="7">
        <f>IFERROR(__xludf.DUMMYFUNCTION("""COMPUTED_VALUE"""),44976.0)</f>
        <v>44976</v>
      </c>
      <c r="D38" s="8">
        <f>IFERROR(__xludf.DUMMYFUNCTION("""COMPUTED_VALUE"""),6.5100103E7)</f>
        <v>65100103</v>
      </c>
      <c r="E38" s="6" t="str">
        <f>IFERROR(__xludf.DUMMYFUNCTION("""COMPUTED_VALUE"""),"DOCUMENTARY")</f>
        <v>DOCUMENTARY</v>
      </c>
      <c r="F38" s="6" t="str">
        <f>IFERROR(__xludf.DUMMYFUNCTION("""COMPUTED_VALUE"""),"Thriller")</f>
        <v>Thriller</v>
      </c>
      <c r="G38" s="6">
        <f>IFERROR(__xludf.DUMMYFUNCTION("""COMPUTED_VALUE"""),134.0)</f>
        <v>134</v>
      </c>
      <c r="H38" s="6">
        <f>IFERROR(__xludf.DUMMYFUNCTION("""COMPUTED_VALUE"""),1.0)</f>
        <v>1</v>
      </c>
      <c r="I38" s="6" t="str">
        <f>IFERROR(__xludf.DUMMYFUNCTION("""COMPUTED_VALUE"""),"Desktop")</f>
        <v>Desktop</v>
      </c>
      <c r="J38" s="6" t="str">
        <f>IFERROR(__xludf.DUMMYFUNCTION("""COMPUTED_VALUE"""),"Germany")</f>
        <v>Germany</v>
      </c>
      <c r="K38" s="6" t="str">
        <f>IFERROR(__xludf.DUMMYFUNCTION("""COMPUTED_VALUE"""),"Standard")</f>
        <v>Standard</v>
      </c>
      <c r="L38" s="6">
        <f>IFERROR(__xludf.DUMMYFUNCTION("""COMPUTED_VALUE"""),0.0)</f>
        <v>0</v>
      </c>
      <c r="M38" s="6" t="str">
        <f>IFERROR(__xludf.DUMMYFUNCTION("""COMPUTED_VALUE"""),"2023-02")</f>
        <v>2023-02</v>
      </c>
    </row>
    <row r="39">
      <c r="A39" s="6" t="str">
        <f>IFERROR(__xludf.DUMMYFUNCTION("""COMPUTED_VALUE"""),"c3d442a0-d333-4005-9db9-4a3bcd4335de")</f>
        <v>c3d442a0-d333-4005-9db9-4a3bcd4335de</v>
      </c>
      <c r="B39" s="6" t="str">
        <f>IFERROR(__xludf.DUMMYFUNCTION("""COMPUTED_VALUE"""),"0b23b1c8-9227-4e29-92e2-8c5f3a045dd8")</f>
        <v>0b23b1c8-9227-4e29-92e2-8c5f3a045dd8</v>
      </c>
      <c r="C39" s="7">
        <f>IFERROR(__xludf.DUMMYFUNCTION("""COMPUTED_VALUE"""),45181.0)</f>
        <v>45181</v>
      </c>
      <c r="D39" s="8">
        <f>IFERROR(__xludf.DUMMYFUNCTION("""COMPUTED_VALUE"""),9.0643231E7)</f>
        <v>90643231</v>
      </c>
      <c r="E39" s="6" t="str">
        <f>IFERROR(__xludf.DUMMYFUNCTION("""COMPUTED_VALUE"""),"MOVIE")</f>
        <v>MOVIE</v>
      </c>
      <c r="F39" s="6" t="str">
        <f>IFERROR(__xludf.DUMMYFUNCTION("""COMPUTED_VALUE"""),"Action")</f>
        <v>Action</v>
      </c>
      <c r="G39" s="6">
        <f>IFERROR(__xludf.DUMMYFUNCTION("""COMPUTED_VALUE"""),39.0)</f>
        <v>39</v>
      </c>
      <c r="H39" s="6">
        <f>IFERROR(__xludf.DUMMYFUNCTION("""COMPUTED_VALUE"""),1.0)</f>
        <v>1</v>
      </c>
      <c r="I39" s="6" t="str">
        <f>IFERROR(__xludf.DUMMYFUNCTION("""COMPUTED_VALUE"""),"Tablet")</f>
        <v>Tablet</v>
      </c>
      <c r="J39" s="6" t="str">
        <f>IFERROR(__xludf.DUMMYFUNCTION("""COMPUTED_VALUE"""),"Usa")</f>
        <v>Usa</v>
      </c>
      <c r="K39" s="6" t="str">
        <f>IFERROR(__xludf.DUMMYFUNCTION("""COMPUTED_VALUE"""),"Standard")</f>
        <v>Standard</v>
      </c>
      <c r="L39" s="6">
        <f>IFERROR(__xludf.DUMMYFUNCTION("""COMPUTED_VALUE"""),0.0)</f>
        <v>0</v>
      </c>
      <c r="M39" s="6" t="str">
        <f>IFERROR(__xludf.DUMMYFUNCTION("""COMPUTED_VALUE"""),"2023-09")</f>
        <v>2023-09</v>
      </c>
    </row>
    <row r="40">
      <c r="A40" s="6" t="str">
        <f>IFERROR(__xludf.DUMMYFUNCTION("""COMPUTED_VALUE"""),"ddc94bc1-a254-4651-b5d2-7b82cec23b2c")</f>
        <v>ddc94bc1-a254-4651-b5d2-7b82cec23b2c</v>
      </c>
      <c r="B40" s="6" t="str">
        <f>IFERROR(__xludf.DUMMYFUNCTION("""COMPUTED_VALUE"""),"0b417b8a-62b6-4721-8ee9-cd8b2b6a1d95")</f>
        <v>0b417b8a-62b6-4721-8ee9-cd8b2b6a1d95</v>
      </c>
      <c r="C40" s="7">
        <f>IFERROR(__xludf.DUMMYFUNCTION("""COMPUTED_VALUE"""),45044.0)</f>
        <v>45044</v>
      </c>
      <c r="D40" s="8">
        <f>IFERROR(__xludf.DUMMYFUNCTION("""COMPUTED_VALUE"""),5.192245E7)</f>
        <v>51922450</v>
      </c>
      <c r="E40" s="6" t="str">
        <f>IFERROR(__xludf.DUMMYFUNCTION("""COMPUTED_VALUE"""),"DOCUMENTARY")</f>
        <v>DOCUMENTARY</v>
      </c>
      <c r="F40" s="6" t="str">
        <f>IFERROR(__xludf.DUMMYFUNCTION("""COMPUTED_VALUE"""),"Drama")</f>
        <v>Drama</v>
      </c>
      <c r="G40" s="6">
        <f>IFERROR(__xludf.DUMMYFUNCTION("""COMPUTED_VALUE"""),62.0)</f>
        <v>62</v>
      </c>
      <c r="H40" s="6">
        <f>IFERROR(__xludf.DUMMYFUNCTION("""COMPUTED_VALUE"""),1.0)</f>
        <v>1</v>
      </c>
      <c r="I40" s="6" t="str">
        <f>IFERROR(__xludf.DUMMYFUNCTION("""COMPUTED_VALUE"""),"Desktop")</f>
        <v>Desktop</v>
      </c>
      <c r="J40" s="6" t="str">
        <f>IFERROR(__xludf.DUMMYFUNCTION("""COMPUTED_VALUE"""),"Germany")</f>
        <v>Germany</v>
      </c>
      <c r="K40" s="6" t="str">
        <f>IFERROR(__xludf.DUMMYFUNCTION("""COMPUTED_VALUE"""),"Standard")</f>
        <v>Standard</v>
      </c>
      <c r="L40" s="6">
        <f>IFERROR(__xludf.DUMMYFUNCTION("""COMPUTED_VALUE"""),0.0)</f>
        <v>0</v>
      </c>
      <c r="M40" s="6" t="str">
        <f>IFERROR(__xludf.DUMMYFUNCTION("""COMPUTED_VALUE"""),"2023-04")</f>
        <v>2023-04</v>
      </c>
    </row>
    <row r="41">
      <c r="A41" s="6" t="str">
        <f>IFERROR(__xludf.DUMMYFUNCTION("""COMPUTED_VALUE"""),"1c1c516a-ea85-48eb-bbfe-27c326daf4e3")</f>
        <v>1c1c516a-ea85-48eb-bbfe-27c326daf4e3</v>
      </c>
      <c r="B41" s="6" t="str">
        <f>IFERROR(__xludf.DUMMYFUNCTION("""COMPUTED_VALUE"""),"0d6cec24-ff05-4fba-a25c-cc685638d0b3")</f>
        <v>0d6cec24-ff05-4fba-a25c-cc685638d0b3</v>
      </c>
      <c r="C41" s="7">
        <f>IFERROR(__xludf.DUMMYFUNCTION("""COMPUTED_VALUE"""),45192.0)</f>
        <v>45192</v>
      </c>
      <c r="D41" s="8">
        <f>IFERROR(__xludf.DUMMYFUNCTION("""COMPUTED_VALUE"""),3.0944596E7)</f>
        <v>30944596</v>
      </c>
      <c r="E41" s="6" t="str">
        <f>IFERROR(__xludf.DUMMYFUNCTION("""COMPUTED_VALUE"""),"MOVIE")</f>
        <v>MOVIE</v>
      </c>
      <c r="F41" s="6" t="str">
        <f>IFERROR(__xludf.DUMMYFUNCTION("""COMPUTED_VALUE"""),"Comedy")</f>
        <v>Comedy</v>
      </c>
      <c r="G41" s="6">
        <f>IFERROR(__xludf.DUMMYFUNCTION("""COMPUTED_VALUE"""),18.0)</f>
        <v>18</v>
      </c>
      <c r="H41" s="6">
        <f>IFERROR(__xludf.DUMMYFUNCTION("""COMPUTED_VALUE"""),1.0)</f>
        <v>1</v>
      </c>
      <c r="I41" s="6" t="str">
        <f>IFERROR(__xludf.DUMMYFUNCTION("""COMPUTED_VALUE"""),"Desktop")</f>
        <v>Desktop</v>
      </c>
      <c r="J41" s="6" t="str">
        <f>IFERROR(__xludf.DUMMYFUNCTION("""COMPUTED_VALUE"""),"India")</f>
        <v>India</v>
      </c>
      <c r="K41" s="6" t="str">
        <f>IFERROR(__xludf.DUMMYFUNCTION("""COMPUTED_VALUE"""),"Premium")</f>
        <v>Premium</v>
      </c>
      <c r="L41" s="6">
        <f>IFERROR(__xludf.DUMMYFUNCTION("""COMPUTED_VALUE"""),0.0)</f>
        <v>0</v>
      </c>
      <c r="M41" s="6" t="str">
        <f>IFERROR(__xludf.DUMMYFUNCTION("""COMPUTED_VALUE"""),"2023-09")</f>
        <v>2023-09</v>
      </c>
    </row>
    <row r="42">
      <c r="A42" s="6" t="str">
        <f>IFERROR(__xludf.DUMMYFUNCTION("""COMPUTED_VALUE"""),"3012d17b-e2dc-403e-bc0e-288a66b9645f")</f>
        <v>3012d17b-e2dc-403e-bc0e-288a66b9645f</v>
      </c>
      <c r="B42" s="6" t="str">
        <f>IFERROR(__xludf.DUMMYFUNCTION("""COMPUTED_VALUE"""),"0d9e5607-9077-4355-a94e-e1aab8b5edf9")</f>
        <v>0d9e5607-9077-4355-a94e-e1aab8b5edf9</v>
      </c>
      <c r="C42" s="7">
        <f>IFERROR(__xludf.DUMMYFUNCTION("""COMPUTED_VALUE"""),45249.0)</f>
        <v>45249</v>
      </c>
      <c r="D42" s="8">
        <f>IFERROR(__xludf.DUMMYFUNCTION("""COMPUTED_VALUE"""),8.2878535E7)</f>
        <v>82878535</v>
      </c>
      <c r="E42" s="6" t="str">
        <f>IFERROR(__xludf.DUMMYFUNCTION("""COMPUTED_VALUE"""),"SERIES")</f>
        <v>SERIES</v>
      </c>
      <c r="F42" s="6" t="str">
        <f>IFERROR(__xludf.DUMMYFUNCTION("""COMPUTED_VALUE"""),"Thriller")</f>
        <v>Thriller</v>
      </c>
      <c r="G42" s="6">
        <f>IFERROR(__xludf.DUMMYFUNCTION("""COMPUTED_VALUE"""),156.0)</f>
        <v>156</v>
      </c>
      <c r="H42" s="6">
        <f>IFERROR(__xludf.DUMMYFUNCTION("""COMPUTED_VALUE"""),1.0)</f>
        <v>1</v>
      </c>
      <c r="I42" s="6" t="str">
        <f>IFERROR(__xludf.DUMMYFUNCTION("""COMPUTED_VALUE"""),"Tablet")</f>
        <v>Tablet</v>
      </c>
      <c r="J42" s="6" t="str">
        <f>IFERROR(__xludf.DUMMYFUNCTION("""COMPUTED_VALUE"""),"Usa")</f>
        <v>Usa</v>
      </c>
      <c r="K42" s="6" t="str">
        <f>IFERROR(__xludf.DUMMYFUNCTION("""COMPUTED_VALUE"""),"Basic")</f>
        <v>Basic</v>
      </c>
      <c r="L42" s="6">
        <f>IFERROR(__xludf.DUMMYFUNCTION("""COMPUTED_VALUE"""),0.0)</f>
        <v>0</v>
      </c>
      <c r="M42" s="6" t="str">
        <f>IFERROR(__xludf.DUMMYFUNCTION("""COMPUTED_VALUE"""),"2023-11")</f>
        <v>2023-11</v>
      </c>
    </row>
    <row r="43">
      <c r="A43" s="6" t="str">
        <f>IFERROR(__xludf.DUMMYFUNCTION("""COMPUTED_VALUE"""),"5864e3bb-b4b5-4fe3-8be4-a147ad675d56")</f>
        <v>5864e3bb-b4b5-4fe3-8be4-a147ad675d56</v>
      </c>
      <c r="B43" s="6" t="str">
        <f>IFERROR(__xludf.DUMMYFUNCTION("""COMPUTED_VALUE"""),"0e157886-bfdc-4443-a507-ce009b8d1616")</f>
        <v>0e157886-bfdc-4443-a507-ce009b8d1616</v>
      </c>
      <c r="C43" s="7">
        <f>IFERROR(__xludf.DUMMYFUNCTION("""COMPUTED_VALUE"""),44959.0)</f>
        <v>44959</v>
      </c>
      <c r="D43" s="8">
        <f>IFERROR(__xludf.DUMMYFUNCTION("""COMPUTED_VALUE"""),9.0878251E7)</f>
        <v>90878251</v>
      </c>
      <c r="E43" s="6" t="str">
        <f>IFERROR(__xludf.DUMMYFUNCTION("""COMPUTED_VALUE"""),"MOVIE")</f>
        <v>MOVIE</v>
      </c>
      <c r="F43" s="6" t="str">
        <f>IFERROR(__xludf.DUMMYFUNCTION("""COMPUTED_VALUE"""),"Thriller")</f>
        <v>Thriller</v>
      </c>
      <c r="G43" s="6">
        <f>IFERROR(__xludf.DUMMYFUNCTION("""COMPUTED_VALUE"""),169.0)</f>
        <v>169</v>
      </c>
      <c r="H43" s="6">
        <f>IFERROR(__xludf.DUMMYFUNCTION("""COMPUTED_VALUE"""),1.0)</f>
        <v>1</v>
      </c>
      <c r="I43" s="6" t="str">
        <f>IFERROR(__xludf.DUMMYFUNCTION("""COMPUTED_VALUE"""),"Smart Tv")</f>
        <v>Smart Tv</v>
      </c>
      <c r="J43" s="6" t="str">
        <f>IFERROR(__xludf.DUMMYFUNCTION("""COMPUTED_VALUE"""),"Germany")</f>
        <v>Germany</v>
      </c>
      <c r="K43" s="6" t="str">
        <f>IFERROR(__xludf.DUMMYFUNCTION("""COMPUTED_VALUE"""),"Basic")</f>
        <v>Basic</v>
      </c>
      <c r="L43" s="6">
        <f>IFERROR(__xludf.DUMMYFUNCTION("""COMPUTED_VALUE"""),0.0)</f>
        <v>0</v>
      </c>
      <c r="M43" s="6" t="str">
        <f>IFERROR(__xludf.DUMMYFUNCTION("""COMPUTED_VALUE"""),"2023-02")</f>
        <v>2023-02</v>
      </c>
    </row>
    <row r="44">
      <c r="A44" s="6" t="str">
        <f>IFERROR(__xludf.DUMMYFUNCTION("""COMPUTED_VALUE"""),"14795432-14d7-4c50-9f34-d0a0afba4179")</f>
        <v>14795432-14d7-4c50-9f34-d0a0afba4179</v>
      </c>
      <c r="B44" s="6" t="str">
        <f>IFERROR(__xludf.DUMMYFUNCTION("""COMPUTED_VALUE"""),"0e220794-d203-488c-88cd-ded00b7ace05")</f>
        <v>0e220794-d203-488c-88cd-ded00b7ace05</v>
      </c>
      <c r="C44" s="7">
        <f>IFERROR(__xludf.DUMMYFUNCTION("""COMPUTED_VALUE"""),44953.0)</f>
        <v>44953</v>
      </c>
      <c r="D44" s="8">
        <f>IFERROR(__xludf.DUMMYFUNCTION("""COMPUTED_VALUE"""),6.1162747E7)</f>
        <v>61162747</v>
      </c>
      <c r="E44" s="6" t="str">
        <f>IFERROR(__xludf.DUMMYFUNCTION("""COMPUTED_VALUE"""),"SERIES")</f>
        <v>SERIES</v>
      </c>
      <c r="F44" s="6" t="str">
        <f>IFERROR(__xludf.DUMMYFUNCTION("""COMPUTED_VALUE"""),"Sci-Fi")</f>
        <v>Sci-Fi</v>
      </c>
      <c r="G44" s="6">
        <f>IFERROR(__xludf.DUMMYFUNCTION("""COMPUTED_VALUE"""),128.0)</f>
        <v>128</v>
      </c>
      <c r="H44" s="6">
        <f>IFERROR(__xludf.DUMMYFUNCTION("""COMPUTED_VALUE"""),1.0)</f>
        <v>1</v>
      </c>
      <c r="I44" s="6" t="str">
        <f>IFERROR(__xludf.DUMMYFUNCTION("""COMPUTED_VALUE"""),"Mobile")</f>
        <v>Mobile</v>
      </c>
      <c r="J44" s="6" t="str">
        <f>IFERROR(__xludf.DUMMYFUNCTION("""COMPUTED_VALUE"""),"Usa")</f>
        <v>Usa</v>
      </c>
      <c r="K44" s="6" t="str">
        <f>IFERROR(__xludf.DUMMYFUNCTION("""COMPUTED_VALUE"""),"Premium")</f>
        <v>Premium</v>
      </c>
      <c r="L44" s="6">
        <f>IFERROR(__xludf.DUMMYFUNCTION("""COMPUTED_VALUE"""),0.0)</f>
        <v>0</v>
      </c>
      <c r="M44" s="6" t="str">
        <f>IFERROR(__xludf.DUMMYFUNCTION("""COMPUTED_VALUE"""),"2023-01")</f>
        <v>2023-01</v>
      </c>
    </row>
    <row r="45">
      <c r="A45" s="6" t="str">
        <f>IFERROR(__xludf.DUMMYFUNCTION("""COMPUTED_VALUE"""),"920a9b43-96b9-4d63-aa51-9d7e79c4e17b")</f>
        <v>920a9b43-96b9-4d63-aa51-9d7e79c4e17b</v>
      </c>
      <c r="B45" s="6" t="str">
        <f>IFERROR(__xludf.DUMMYFUNCTION("""COMPUTED_VALUE"""),"0e381030-af91-4c1c-b422-4d9f5f38af02")</f>
        <v>0e381030-af91-4c1c-b422-4d9f5f38af02</v>
      </c>
      <c r="C45" s="7">
        <f>IFERROR(__xludf.DUMMYFUNCTION("""COMPUTED_VALUE"""),45044.0)</f>
        <v>45044</v>
      </c>
      <c r="D45" s="8">
        <f>IFERROR(__xludf.DUMMYFUNCTION("""COMPUTED_VALUE"""),3.0338371E7)</f>
        <v>30338371</v>
      </c>
      <c r="E45" s="6" t="str">
        <f>IFERROR(__xludf.DUMMYFUNCTION("""COMPUTED_VALUE"""),"DOCUMENTARY")</f>
        <v>DOCUMENTARY</v>
      </c>
      <c r="F45" s="6" t="str">
        <f>IFERROR(__xludf.DUMMYFUNCTION("""COMPUTED_VALUE"""),"Comedy")</f>
        <v>Comedy</v>
      </c>
      <c r="G45" s="6">
        <f>IFERROR(__xludf.DUMMYFUNCTION("""COMPUTED_VALUE"""),39.0)</f>
        <v>39</v>
      </c>
      <c r="H45" s="6">
        <f>IFERROR(__xludf.DUMMYFUNCTION("""COMPUTED_VALUE"""),1.0)</f>
        <v>1</v>
      </c>
      <c r="I45" s="6" t="str">
        <f>IFERROR(__xludf.DUMMYFUNCTION("""COMPUTED_VALUE"""),"Desktop")</f>
        <v>Desktop</v>
      </c>
      <c r="J45" s="6" t="str">
        <f>IFERROR(__xludf.DUMMYFUNCTION("""COMPUTED_VALUE"""),"India")</f>
        <v>India</v>
      </c>
      <c r="K45" s="6" t="str">
        <f>IFERROR(__xludf.DUMMYFUNCTION("""COMPUTED_VALUE"""),"Standard")</f>
        <v>Standard</v>
      </c>
      <c r="L45" s="6">
        <f>IFERROR(__xludf.DUMMYFUNCTION("""COMPUTED_VALUE"""),0.0)</f>
        <v>0</v>
      </c>
      <c r="M45" s="6" t="str">
        <f>IFERROR(__xludf.DUMMYFUNCTION("""COMPUTED_VALUE"""),"2023-04")</f>
        <v>2023-04</v>
      </c>
    </row>
    <row r="46">
      <c r="A46" s="6" t="str">
        <f>IFERROR(__xludf.DUMMYFUNCTION("""COMPUTED_VALUE"""),"1a6ed48d-0d10-4f2e-a2a9-4b19f355089c")</f>
        <v>1a6ed48d-0d10-4f2e-a2a9-4b19f355089c</v>
      </c>
      <c r="B46" s="6" t="str">
        <f>IFERROR(__xludf.DUMMYFUNCTION("""COMPUTED_VALUE"""),"0e43aa3b-6acc-4515-956d-a1e74e65143c")</f>
        <v>0e43aa3b-6acc-4515-956d-a1e74e65143c</v>
      </c>
      <c r="C46" s="7">
        <f>IFERROR(__xludf.DUMMYFUNCTION("""COMPUTED_VALUE"""),45055.0)</f>
        <v>45055</v>
      </c>
      <c r="D46" s="8">
        <f>IFERROR(__xludf.DUMMYFUNCTION("""COMPUTED_VALUE"""),6.8621735E7)</f>
        <v>68621735</v>
      </c>
      <c r="E46" s="6" t="str">
        <f>IFERROR(__xludf.DUMMYFUNCTION("""COMPUTED_VALUE"""),"SERIES")</f>
        <v>SERIES</v>
      </c>
      <c r="F46" s="6" t="str">
        <f>IFERROR(__xludf.DUMMYFUNCTION("""COMPUTED_VALUE"""),"Drama")</f>
        <v>Drama</v>
      </c>
      <c r="G46" s="6">
        <f>IFERROR(__xludf.DUMMYFUNCTION("""COMPUTED_VALUE"""),73.0)</f>
        <v>73</v>
      </c>
      <c r="H46" s="6">
        <f>IFERROR(__xludf.DUMMYFUNCTION("""COMPUTED_VALUE"""),0.0)</f>
        <v>0</v>
      </c>
      <c r="I46" s="6" t="str">
        <f>IFERROR(__xludf.DUMMYFUNCTION("""COMPUTED_VALUE"""),"Mobile")</f>
        <v>Mobile</v>
      </c>
      <c r="J46" s="6" t="str">
        <f>IFERROR(__xludf.DUMMYFUNCTION("""COMPUTED_VALUE"""),"Uk")</f>
        <v>Uk</v>
      </c>
      <c r="K46" s="6" t="str">
        <f>IFERROR(__xludf.DUMMYFUNCTION("""COMPUTED_VALUE"""),"Basic")</f>
        <v>Basic</v>
      </c>
      <c r="L46" s="6">
        <f>IFERROR(__xludf.DUMMYFUNCTION("""COMPUTED_VALUE"""),0.0)</f>
        <v>0</v>
      </c>
      <c r="M46" s="6" t="str">
        <f>IFERROR(__xludf.DUMMYFUNCTION("""COMPUTED_VALUE"""),"2023-05")</f>
        <v>2023-05</v>
      </c>
    </row>
    <row r="47">
      <c r="A47" s="6" t="str">
        <f>IFERROR(__xludf.DUMMYFUNCTION("""COMPUTED_VALUE"""),"9a7a1d91-41ed-4ecd-b33d-64a193c58335")</f>
        <v>9a7a1d91-41ed-4ecd-b33d-64a193c58335</v>
      </c>
      <c r="B47" s="6" t="str">
        <f>IFERROR(__xludf.DUMMYFUNCTION("""COMPUTED_VALUE"""),"10015a67-50ec-4816-894f-25d009205edf")</f>
        <v>10015a67-50ec-4816-894f-25d009205edf</v>
      </c>
      <c r="C47" s="7">
        <f>IFERROR(__xludf.DUMMYFUNCTION("""COMPUTED_VALUE"""),45085.0)</f>
        <v>45085</v>
      </c>
      <c r="D47" s="8">
        <f>IFERROR(__xludf.DUMMYFUNCTION("""COMPUTED_VALUE"""),4.3209248E7)</f>
        <v>43209248</v>
      </c>
      <c r="E47" s="6" t="str">
        <f>IFERROR(__xludf.DUMMYFUNCTION("""COMPUTED_VALUE"""),"MOVIE")</f>
        <v>MOVIE</v>
      </c>
      <c r="F47" s="6" t="str">
        <f>IFERROR(__xludf.DUMMYFUNCTION("""COMPUTED_VALUE"""),"Sci-Fi")</f>
        <v>Sci-Fi</v>
      </c>
      <c r="G47" s="6">
        <f>IFERROR(__xludf.DUMMYFUNCTION("""COMPUTED_VALUE"""),86.0)</f>
        <v>86</v>
      </c>
      <c r="H47" s="6">
        <f>IFERROR(__xludf.DUMMYFUNCTION("""COMPUTED_VALUE"""),1.0)</f>
        <v>1</v>
      </c>
      <c r="I47" s="6" t="str">
        <f>IFERROR(__xludf.DUMMYFUNCTION("""COMPUTED_VALUE"""),"Mobile")</f>
        <v>Mobile</v>
      </c>
      <c r="J47" s="6" t="str">
        <f>IFERROR(__xludf.DUMMYFUNCTION("""COMPUTED_VALUE"""),"Germany")</f>
        <v>Germany</v>
      </c>
      <c r="K47" s="6" t="str">
        <f>IFERROR(__xludf.DUMMYFUNCTION("""COMPUTED_VALUE"""),"Premium")</f>
        <v>Premium</v>
      </c>
      <c r="L47" s="6">
        <f>IFERROR(__xludf.DUMMYFUNCTION("""COMPUTED_VALUE"""),1.0)</f>
        <v>1</v>
      </c>
      <c r="M47" s="6" t="str">
        <f>IFERROR(__xludf.DUMMYFUNCTION("""COMPUTED_VALUE"""),"2023-06")</f>
        <v>2023-06</v>
      </c>
    </row>
    <row r="48">
      <c r="A48" s="6" t="str">
        <f>IFERROR(__xludf.DUMMYFUNCTION("""COMPUTED_VALUE"""),"f29fb90e-e54d-4fb5-a205-163efd9e77ff")</f>
        <v>f29fb90e-e54d-4fb5-a205-163efd9e77ff</v>
      </c>
      <c r="B48" s="6" t="str">
        <f>IFERROR(__xludf.DUMMYFUNCTION("""COMPUTED_VALUE"""),"10ed16cf-4629-47d0-b276-22f02adacc86")</f>
        <v>10ed16cf-4629-47d0-b276-22f02adacc86</v>
      </c>
      <c r="C48" s="7">
        <f>IFERROR(__xludf.DUMMYFUNCTION("""COMPUTED_VALUE"""),45088.0)</f>
        <v>45088</v>
      </c>
      <c r="D48" s="8">
        <f>IFERROR(__xludf.DUMMYFUNCTION("""COMPUTED_VALUE"""),7.95784E7)</f>
        <v>79578400</v>
      </c>
      <c r="E48" s="6" t="str">
        <f>IFERROR(__xludf.DUMMYFUNCTION("""COMPUTED_VALUE"""),"SERIES")</f>
        <v>SERIES</v>
      </c>
      <c r="F48" s="6" t="str">
        <f>IFERROR(__xludf.DUMMYFUNCTION("""COMPUTED_VALUE"""),"Sci-Fi")</f>
        <v>Sci-Fi</v>
      </c>
      <c r="G48" s="6">
        <f>IFERROR(__xludf.DUMMYFUNCTION("""COMPUTED_VALUE"""),51.0)</f>
        <v>51</v>
      </c>
      <c r="H48" s="6">
        <f>IFERROR(__xludf.DUMMYFUNCTION("""COMPUTED_VALUE"""),0.0)</f>
        <v>0</v>
      </c>
      <c r="I48" s="6" t="str">
        <f>IFERROR(__xludf.DUMMYFUNCTION("""COMPUTED_VALUE"""),"Smart Tv")</f>
        <v>Smart Tv</v>
      </c>
      <c r="J48" s="6" t="str">
        <f>IFERROR(__xludf.DUMMYFUNCTION("""COMPUTED_VALUE"""),"Uk")</f>
        <v>Uk</v>
      </c>
      <c r="K48" s="6" t="str">
        <f>IFERROR(__xludf.DUMMYFUNCTION("""COMPUTED_VALUE"""),"Basic")</f>
        <v>Basic</v>
      </c>
      <c r="L48" s="6">
        <f>IFERROR(__xludf.DUMMYFUNCTION("""COMPUTED_VALUE"""),0.0)</f>
        <v>0</v>
      </c>
      <c r="M48" s="6" t="str">
        <f>IFERROR(__xludf.DUMMYFUNCTION("""COMPUTED_VALUE"""),"2023-06")</f>
        <v>2023-06</v>
      </c>
    </row>
    <row r="49">
      <c r="A49" s="6" t="str">
        <f>IFERROR(__xludf.DUMMYFUNCTION("""COMPUTED_VALUE"""),"ed509b48-1563-47d9-b574-2884d5456769")</f>
        <v>ed509b48-1563-47d9-b574-2884d5456769</v>
      </c>
      <c r="B49" s="6" t="str">
        <f>IFERROR(__xludf.DUMMYFUNCTION("""COMPUTED_VALUE"""),"11623bd2-cad6-4db8-ab34-a50fdb9f3f55")</f>
        <v>11623bd2-cad6-4db8-ab34-a50fdb9f3f55</v>
      </c>
      <c r="C49" s="7">
        <f>IFERROR(__xludf.DUMMYFUNCTION("""COMPUTED_VALUE"""),45128.0)</f>
        <v>45128</v>
      </c>
      <c r="D49" s="8">
        <f>IFERROR(__xludf.DUMMYFUNCTION("""COMPUTED_VALUE"""),8.3621741E7)</f>
        <v>83621741</v>
      </c>
      <c r="E49" s="6" t="str">
        <f>IFERROR(__xludf.DUMMYFUNCTION("""COMPUTED_VALUE"""),"DOCUMENTARY")</f>
        <v>DOCUMENTARY</v>
      </c>
      <c r="F49" s="6" t="str">
        <f>IFERROR(__xludf.DUMMYFUNCTION("""COMPUTED_VALUE"""),"Comedy")</f>
        <v>Comedy</v>
      </c>
      <c r="G49" s="6">
        <f>IFERROR(__xludf.DUMMYFUNCTION("""COMPUTED_VALUE"""),29.0)</f>
        <v>29</v>
      </c>
      <c r="H49" s="6">
        <f>IFERROR(__xludf.DUMMYFUNCTION("""COMPUTED_VALUE"""),1.0)</f>
        <v>1</v>
      </c>
      <c r="I49" s="6" t="str">
        <f>IFERROR(__xludf.DUMMYFUNCTION("""COMPUTED_VALUE"""),"Tablet")</f>
        <v>Tablet</v>
      </c>
      <c r="J49" s="6" t="str">
        <f>IFERROR(__xludf.DUMMYFUNCTION("""COMPUTED_VALUE"""),"France")</f>
        <v>France</v>
      </c>
      <c r="K49" s="6" t="str">
        <f>IFERROR(__xludf.DUMMYFUNCTION("""COMPUTED_VALUE"""),"Basic")</f>
        <v>Basic</v>
      </c>
      <c r="L49" s="6">
        <f>IFERROR(__xludf.DUMMYFUNCTION("""COMPUTED_VALUE"""),1.0)</f>
        <v>1</v>
      </c>
      <c r="M49" s="6" t="str">
        <f>IFERROR(__xludf.DUMMYFUNCTION("""COMPUTED_VALUE"""),"2023-07")</f>
        <v>2023-07</v>
      </c>
    </row>
    <row r="50">
      <c r="A50" s="6" t="str">
        <f>IFERROR(__xludf.DUMMYFUNCTION("""COMPUTED_VALUE"""),"94e5ac7f-655a-4517-9a3d-7e96ff42be60")</f>
        <v>94e5ac7f-655a-4517-9a3d-7e96ff42be60</v>
      </c>
      <c r="B50" s="6" t="str">
        <f>IFERROR(__xludf.DUMMYFUNCTION("""COMPUTED_VALUE"""),"11739873-a904-45ef-98a3-f01780f78648")</f>
        <v>11739873-a904-45ef-98a3-f01780f78648</v>
      </c>
      <c r="C50" s="7">
        <f>IFERROR(__xludf.DUMMYFUNCTION("""COMPUTED_VALUE"""),44970.0)</f>
        <v>44970</v>
      </c>
      <c r="D50" s="8">
        <f>IFERROR(__xludf.DUMMYFUNCTION("""COMPUTED_VALUE"""),8.3388132E7)</f>
        <v>83388132</v>
      </c>
      <c r="E50" s="6" t="str">
        <f>IFERROR(__xludf.DUMMYFUNCTION("""COMPUTED_VALUE"""),"SERIES")</f>
        <v>SERIES</v>
      </c>
      <c r="F50" s="6" t="str">
        <f>IFERROR(__xludf.DUMMYFUNCTION("""COMPUTED_VALUE"""),"Drama")</f>
        <v>Drama</v>
      </c>
      <c r="G50" s="6">
        <f>IFERROR(__xludf.DUMMYFUNCTION("""COMPUTED_VALUE"""),128.0)</f>
        <v>128</v>
      </c>
      <c r="H50" s="6">
        <f>IFERROR(__xludf.DUMMYFUNCTION("""COMPUTED_VALUE"""),1.0)</f>
        <v>1</v>
      </c>
      <c r="I50" s="6" t="str">
        <f>IFERROR(__xludf.DUMMYFUNCTION("""COMPUTED_VALUE"""),"Tablet")</f>
        <v>Tablet</v>
      </c>
      <c r="J50" s="6" t="str">
        <f>IFERROR(__xludf.DUMMYFUNCTION("""COMPUTED_VALUE"""),"Germany")</f>
        <v>Germany</v>
      </c>
      <c r="K50" s="6" t="str">
        <f>IFERROR(__xludf.DUMMYFUNCTION("""COMPUTED_VALUE"""),"Premium")</f>
        <v>Premium</v>
      </c>
      <c r="L50" s="6">
        <f>IFERROR(__xludf.DUMMYFUNCTION("""COMPUTED_VALUE"""),0.0)</f>
        <v>0</v>
      </c>
      <c r="M50" s="6" t="str">
        <f>IFERROR(__xludf.DUMMYFUNCTION("""COMPUTED_VALUE"""),"2023-02")</f>
        <v>2023-02</v>
      </c>
    </row>
    <row r="51">
      <c r="A51" s="6" t="str">
        <f>IFERROR(__xludf.DUMMYFUNCTION("""COMPUTED_VALUE"""),"0f568e3f-e636-4972-bfa6-408ff4502bed")</f>
        <v>0f568e3f-e636-4972-bfa6-408ff4502bed</v>
      </c>
      <c r="B51" s="6" t="str">
        <f>IFERROR(__xludf.DUMMYFUNCTION("""COMPUTED_VALUE"""),"121bc248-31b6-4567-86ee-04b608c7f351")</f>
        <v>121bc248-31b6-4567-86ee-04b608c7f351</v>
      </c>
      <c r="C51" s="7">
        <f>IFERROR(__xludf.DUMMYFUNCTION("""COMPUTED_VALUE"""),45006.0)</f>
        <v>45006</v>
      </c>
      <c r="D51" s="8">
        <f>IFERROR(__xludf.DUMMYFUNCTION("""COMPUTED_VALUE"""),8.7190953E7)</f>
        <v>87190953</v>
      </c>
      <c r="E51" s="6" t="str">
        <f>IFERROR(__xludf.DUMMYFUNCTION("""COMPUTED_VALUE"""),"MOVIE")</f>
        <v>MOVIE</v>
      </c>
      <c r="F51" s="6" t="str">
        <f>IFERROR(__xludf.DUMMYFUNCTION("""COMPUTED_VALUE"""),"Sci-Fi")</f>
        <v>Sci-Fi</v>
      </c>
      <c r="G51" s="6">
        <f>IFERROR(__xludf.DUMMYFUNCTION("""COMPUTED_VALUE"""),9.0)</f>
        <v>9</v>
      </c>
      <c r="H51" s="6">
        <f>IFERROR(__xludf.DUMMYFUNCTION("""COMPUTED_VALUE"""),1.0)</f>
        <v>1</v>
      </c>
      <c r="I51" s="6" t="str">
        <f>IFERROR(__xludf.DUMMYFUNCTION("""COMPUTED_VALUE"""),"Tablet")</f>
        <v>Tablet</v>
      </c>
      <c r="J51" s="6" t="str">
        <f>IFERROR(__xludf.DUMMYFUNCTION("""COMPUTED_VALUE"""),"Germany")</f>
        <v>Germany</v>
      </c>
      <c r="K51" s="6" t="str">
        <f>IFERROR(__xludf.DUMMYFUNCTION("""COMPUTED_VALUE"""),"Standard")</f>
        <v>Standard</v>
      </c>
      <c r="L51" s="6">
        <f>IFERROR(__xludf.DUMMYFUNCTION("""COMPUTED_VALUE"""),0.0)</f>
        <v>0</v>
      </c>
      <c r="M51" s="6" t="str">
        <f>IFERROR(__xludf.DUMMYFUNCTION("""COMPUTED_VALUE"""),"2023-03")</f>
        <v>2023-03</v>
      </c>
    </row>
    <row r="52">
      <c r="A52" s="6" t="str">
        <f>IFERROR(__xludf.DUMMYFUNCTION("""COMPUTED_VALUE"""),"ef55e844-00e4-4cd6-9b1c-7ac0641d628f")</f>
        <v>ef55e844-00e4-4cd6-9b1c-7ac0641d628f</v>
      </c>
      <c r="B52" s="6" t="str">
        <f>IFERROR(__xludf.DUMMYFUNCTION("""COMPUTED_VALUE"""),"12216277-7ff0-4906-b27e-2dd2918066d2")</f>
        <v>12216277-7ff0-4906-b27e-2dd2918066d2</v>
      </c>
      <c r="C52" s="7">
        <f>IFERROR(__xludf.DUMMYFUNCTION("""COMPUTED_VALUE"""),44987.0)</f>
        <v>44987</v>
      </c>
      <c r="D52" s="8">
        <f>IFERROR(__xludf.DUMMYFUNCTION("""COMPUTED_VALUE"""),8.2874018E7)</f>
        <v>82874018</v>
      </c>
      <c r="E52" s="6" t="str">
        <f>IFERROR(__xludf.DUMMYFUNCTION("""COMPUTED_VALUE"""),"MOVIE")</f>
        <v>MOVIE</v>
      </c>
      <c r="F52" s="6" t="str">
        <f>IFERROR(__xludf.DUMMYFUNCTION("""COMPUTED_VALUE"""),"Sci-Fi")</f>
        <v>Sci-Fi</v>
      </c>
      <c r="G52" s="6">
        <f>IFERROR(__xludf.DUMMYFUNCTION("""COMPUTED_VALUE"""),60.0)</f>
        <v>60</v>
      </c>
      <c r="H52" s="6">
        <f>IFERROR(__xludf.DUMMYFUNCTION("""COMPUTED_VALUE"""),1.0)</f>
        <v>1</v>
      </c>
      <c r="I52" s="6" t="str">
        <f>IFERROR(__xludf.DUMMYFUNCTION("""COMPUTED_VALUE"""),"Desktop")</f>
        <v>Desktop</v>
      </c>
      <c r="J52" s="6" t="str">
        <f>IFERROR(__xludf.DUMMYFUNCTION("""COMPUTED_VALUE"""),"Uk")</f>
        <v>Uk</v>
      </c>
      <c r="K52" s="6" t="str">
        <f>IFERROR(__xludf.DUMMYFUNCTION("""COMPUTED_VALUE"""),"Premium")</f>
        <v>Premium</v>
      </c>
      <c r="L52" s="6">
        <f>IFERROR(__xludf.DUMMYFUNCTION("""COMPUTED_VALUE"""),0.0)</f>
        <v>0</v>
      </c>
      <c r="M52" s="6" t="str">
        <f>IFERROR(__xludf.DUMMYFUNCTION("""COMPUTED_VALUE"""),"2023-03")</f>
        <v>2023-03</v>
      </c>
    </row>
    <row r="53">
      <c r="A53" s="6" t="str">
        <f>IFERROR(__xludf.DUMMYFUNCTION("""COMPUTED_VALUE"""),"243b4fdd-2773-4160-9b4b-062bd8b76829")</f>
        <v>243b4fdd-2773-4160-9b4b-062bd8b76829</v>
      </c>
      <c r="B53" s="6" t="str">
        <f>IFERROR(__xludf.DUMMYFUNCTION("""COMPUTED_VALUE"""),"12de4d01-bd35-4f16-91f2-2cad309cb6d4")</f>
        <v>12de4d01-bd35-4f16-91f2-2cad309cb6d4</v>
      </c>
      <c r="C53" s="7">
        <f>IFERROR(__xludf.DUMMYFUNCTION("""COMPUTED_VALUE"""),45191.0)</f>
        <v>45191</v>
      </c>
      <c r="D53" s="8">
        <f>IFERROR(__xludf.DUMMYFUNCTION("""COMPUTED_VALUE"""),1.7744096E7)</f>
        <v>17744096</v>
      </c>
      <c r="E53" s="6" t="str">
        <f>IFERROR(__xludf.DUMMYFUNCTION("""COMPUTED_VALUE"""),"SERIES")</f>
        <v>SERIES</v>
      </c>
      <c r="F53" s="6" t="str">
        <f>IFERROR(__xludf.DUMMYFUNCTION("""COMPUTED_VALUE"""),"Action")</f>
        <v>Action</v>
      </c>
      <c r="G53" s="6">
        <f>IFERROR(__xludf.DUMMYFUNCTION("""COMPUTED_VALUE"""),50.0)</f>
        <v>50</v>
      </c>
      <c r="H53" s="6">
        <f>IFERROR(__xludf.DUMMYFUNCTION("""COMPUTED_VALUE"""),1.0)</f>
        <v>1</v>
      </c>
      <c r="I53" s="6" t="str">
        <f>IFERROR(__xludf.DUMMYFUNCTION("""COMPUTED_VALUE"""),"Desktop")</f>
        <v>Desktop</v>
      </c>
      <c r="J53" s="6" t="str">
        <f>IFERROR(__xludf.DUMMYFUNCTION("""COMPUTED_VALUE"""),"Uk")</f>
        <v>Uk</v>
      </c>
      <c r="K53" s="6" t="str">
        <f>IFERROR(__xludf.DUMMYFUNCTION("""COMPUTED_VALUE"""),"Standard")</f>
        <v>Standard</v>
      </c>
      <c r="L53" s="6">
        <f>IFERROR(__xludf.DUMMYFUNCTION("""COMPUTED_VALUE"""),0.0)</f>
        <v>0</v>
      </c>
      <c r="M53" s="6" t="str">
        <f>IFERROR(__xludf.DUMMYFUNCTION("""COMPUTED_VALUE"""),"2023-09")</f>
        <v>2023-09</v>
      </c>
    </row>
    <row r="54">
      <c r="A54" s="6" t="str">
        <f>IFERROR(__xludf.DUMMYFUNCTION("""COMPUTED_VALUE"""),"4b2b0839-50b3-440c-b3be-2b732abbd70b")</f>
        <v>4b2b0839-50b3-440c-b3be-2b732abbd70b</v>
      </c>
      <c r="B54" s="6" t="str">
        <f>IFERROR(__xludf.DUMMYFUNCTION("""COMPUTED_VALUE"""),"13067567-1b00-4c9c-be2f-9e2772ac07b3")</f>
        <v>13067567-1b00-4c9c-be2f-9e2772ac07b3</v>
      </c>
      <c r="C54" s="7">
        <f>IFERROR(__xludf.DUMMYFUNCTION("""COMPUTED_VALUE"""),45077.0)</f>
        <v>45077</v>
      </c>
      <c r="D54" s="8">
        <f>IFERROR(__xludf.DUMMYFUNCTION("""COMPUTED_VALUE"""),2.307897E7)</f>
        <v>23078970</v>
      </c>
      <c r="E54" s="6" t="str">
        <f>IFERROR(__xludf.DUMMYFUNCTION("""COMPUTED_VALUE"""),"DOCUMENTARY")</f>
        <v>DOCUMENTARY</v>
      </c>
      <c r="F54" s="6" t="str">
        <f>IFERROR(__xludf.DUMMYFUNCTION("""COMPUTED_VALUE"""),"Action")</f>
        <v>Action</v>
      </c>
      <c r="G54" s="6">
        <f>IFERROR(__xludf.DUMMYFUNCTION("""COMPUTED_VALUE"""),73.0)</f>
        <v>73</v>
      </c>
      <c r="H54" s="6">
        <f>IFERROR(__xludf.DUMMYFUNCTION("""COMPUTED_VALUE"""),0.0)</f>
        <v>0</v>
      </c>
      <c r="I54" s="6" t="str">
        <f>IFERROR(__xludf.DUMMYFUNCTION("""COMPUTED_VALUE"""),"Mobile")</f>
        <v>Mobile</v>
      </c>
      <c r="J54" s="6" t="str">
        <f>IFERROR(__xludf.DUMMYFUNCTION("""COMPUTED_VALUE"""),"Germany")</f>
        <v>Germany</v>
      </c>
      <c r="K54" s="6" t="str">
        <f>IFERROR(__xludf.DUMMYFUNCTION("""COMPUTED_VALUE"""),"Premium")</f>
        <v>Premium</v>
      </c>
      <c r="L54" s="6">
        <f>IFERROR(__xludf.DUMMYFUNCTION("""COMPUTED_VALUE"""),0.0)</f>
        <v>0</v>
      </c>
      <c r="M54" s="6" t="str">
        <f>IFERROR(__xludf.DUMMYFUNCTION("""COMPUTED_VALUE"""),"2023-05")</f>
        <v>2023-05</v>
      </c>
    </row>
    <row r="55">
      <c r="A55" s="6" t="str">
        <f>IFERROR(__xludf.DUMMYFUNCTION("""COMPUTED_VALUE"""),"8bdd2c84-8faa-453f-9fe9-81a95d52d37e")</f>
        <v>8bdd2c84-8faa-453f-9fe9-81a95d52d37e</v>
      </c>
      <c r="B55" s="6" t="str">
        <f>IFERROR(__xludf.DUMMYFUNCTION("""COMPUTED_VALUE"""),"13713dc1-d2b3-45cb-8d07-a5699a4f42b8")</f>
        <v>13713dc1-d2b3-45cb-8d07-a5699a4f42b8</v>
      </c>
      <c r="C55" s="7">
        <f>IFERROR(__xludf.DUMMYFUNCTION("""COMPUTED_VALUE"""),45002.0)</f>
        <v>45002</v>
      </c>
      <c r="D55" s="8">
        <f>IFERROR(__xludf.DUMMYFUNCTION("""COMPUTED_VALUE"""),8.2932411E7)</f>
        <v>82932411</v>
      </c>
      <c r="E55" s="6" t="str">
        <f>IFERROR(__xludf.DUMMYFUNCTION("""COMPUTED_VALUE"""),"SERIES")</f>
        <v>SERIES</v>
      </c>
      <c r="F55" s="6" t="str">
        <f>IFERROR(__xludf.DUMMYFUNCTION("""COMPUTED_VALUE"""),"Thriller")</f>
        <v>Thriller</v>
      </c>
      <c r="G55" s="6">
        <f>IFERROR(__xludf.DUMMYFUNCTION("""COMPUTED_VALUE"""),170.0)</f>
        <v>170</v>
      </c>
      <c r="H55" s="6">
        <f>IFERROR(__xludf.DUMMYFUNCTION("""COMPUTED_VALUE"""),1.0)</f>
        <v>1</v>
      </c>
      <c r="I55" s="6" t="str">
        <f>IFERROR(__xludf.DUMMYFUNCTION("""COMPUTED_VALUE"""),"Mobile")</f>
        <v>Mobile</v>
      </c>
      <c r="J55" s="6" t="str">
        <f>IFERROR(__xludf.DUMMYFUNCTION("""COMPUTED_VALUE"""),"India")</f>
        <v>India</v>
      </c>
      <c r="K55" s="6" t="str">
        <f>IFERROR(__xludf.DUMMYFUNCTION("""COMPUTED_VALUE"""),"Basic")</f>
        <v>Basic</v>
      </c>
      <c r="L55" s="6">
        <f>IFERROR(__xludf.DUMMYFUNCTION("""COMPUTED_VALUE"""),1.0)</f>
        <v>1</v>
      </c>
      <c r="M55" s="6" t="str">
        <f>IFERROR(__xludf.DUMMYFUNCTION("""COMPUTED_VALUE"""),"2023-03")</f>
        <v>2023-03</v>
      </c>
    </row>
    <row r="56">
      <c r="A56" s="6" t="str">
        <f>IFERROR(__xludf.DUMMYFUNCTION("""COMPUTED_VALUE"""),"0c5084dd-0fdc-4b68-a39d-9ccec9a5840c")</f>
        <v>0c5084dd-0fdc-4b68-a39d-9ccec9a5840c</v>
      </c>
      <c r="B56" s="6" t="str">
        <f>IFERROR(__xludf.DUMMYFUNCTION("""COMPUTED_VALUE"""),"13f16423-3f26-4f91-9d91-1daf567eeb28")</f>
        <v>13f16423-3f26-4f91-9d91-1daf567eeb28</v>
      </c>
      <c r="C56" s="7">
        <f>IFERROR(__xludf.DUMMYFUNCTION("""COMPUTED_VALUE"""),45204.0)</f>
        <v>45204</v>
      </c>
      <c r="D56" s="8">
        <f>IFERROR(__xludf.DUMMYFUNCTION("""COMPUTED_VALUE"""),506809.0)</f>
        <v>506809</v>
      </c>
      <c r="E56" s="6" t="str">
        <f>IFERROR(__xludf.DUMMYFUNCTION("""COMPUTED_VALUE"""),"MOVIE")</f>
        <v>MOVIE</v>
      </c>
      <c r="F56" s="6" t="str">
        <f>IFERROR(__xludf.DUMMYFUNCTION("""COMPUTED_VALUE"""),"Comedy")</f>
        <v>Comedy</v>
      </c>
      <c r="G56" s="6">
        <f>IFERROR(__xludf.DUMMYFUNCTION("""COMPUTED_VALUE"""),20.0)</f>
        <v>20</v>
      </c>
      <c r="H56" s="6">
        <f>IFERROR(__xludf.DUMMYFUNCTION("""COMPUTED_VALUE"""),1.0)</f>
        <v>1</v>
      </c>
      <c r="I56" s="6" t="str">
        <f>IFERROR(__xludf.DUMMYFUNCTION("""COMPUTED_VALUE"""),"Smart Tv")</f>
        <v>Smart Tv</v>
      </c>
      <c r="J56" s="6" t="str">
        <f>IFERROR(__xludf.DUMMYFUNCTION("""COMPUTED_VALUE"""),"Uk")</f>
        <v>Uk</v>
      </c>
      <c r="K56" s="6" t="str">
        <f>IFERROR(__xludf.DUMMYFUNCTION("""COMPUTED_VALUE"""),"Basic")</f>
        <v>Basic</v>
      </c>
      <c r="L56" s="6">
        <f>IFERROR(__xludf.DUMMYFUNCTION("""COMPUTED_VALUE"""),0.0)</f>
        <v>0</v>
      </c>
      <c r="M56" s="6" t="str">
        <f>IFERROR(__xludf.DUMMYFUNCTION("""COMPUTED_VALUE"""),"2023-10")</f>
        <v>2023-10</v>
      </c>
    </row>
    <row r="57">
      <c r="A57" s="6" t="str">
        <f>IFERROR(__xludf.DUMMYFUNCTION("""COMPUTED_VALUE"""),"5c253bef-b826-4d12-a178-8eb8be55793a")</f>
        <v>5c253bef-b826-4d12-a178-8eb8be55793a</v>
      </c>
      <c r="B57" s="6" t="str">
        <f>IFERROR(__xludf.DUMMYFUNCTION("""COMPUTED_VALUE"""),"14d0e757-89e5-47a9-994d-e9498e2fae0e")</f>
        <v>14d0e757-89e5-47a9-994d-e9498e2fae0e</v>
      </c>
      <c r="C57" s="7">
        <f>IFERROR(__xludf.DUMMYFUNCTION("""COMPUTED_VALUE"""),45018.0)</f>
        <v>45018</v>
      </c>
      <c r="D57" s="8">
        <f>IFERROR(__xludf.DUMMYFUNCTION("""COMPUTED_VALUE"""),8.1649266E7)</f>
        <v>81649266</v>
      </c>
      <c r="E57" s="6" t="str">
        <f>IFERROR(__xludf.DUMMYFUNCTION("""COMPUTED_VALUE"""),"MOVIE")</f>
        <v>MOVIE</v>
      </c>
      <c r="F57" s="6" t="str">
        <f>IFERROR(__xludf.DUMMYFUNCTION("""COMPUTED_VALUE"""),"Drama")</f>
        <v>Drama</v>
      </c>
      <c r="G57" s="6">
        <f>IFERROR(__xludf.DUMMYFUNCTION("""COMPUTED_VALUE"""),74.0)</f>
        <v>74</v>
      </c>
      <c r="H57" s="6">
        <f>IFERROR(__xludf.DUMMYFUNCTION("""COMPUTED_VALUE"""),1.0)</f>
        <v>1</v>
      </c>
      <c r="I57" s="6" t="str">
        <f>IFERROR(__xludf.DUMMYFUNCTION("""COMPUTED_VALUE"""),"Mobile")</f>
        <v>Mobile</v>
      </c>
      <c r="J57" s="6" t="str">
        <f>IFERROR(__xludf.DUMMYFUNCTION("""COMPUTED_VALUE"""),"Germany")</f>
        <v>Germany</v>
      </c>
      <c r="K57" s="6" t="str">
        <f>IFERROR(__xludf.DUMMYFUNCTION("""COMPUTED_VALUE"""),"Standard")</f>
        <v>Standard</v>
      </c>
      <c r="L57" s="6">
        <f>IFERROR(__xludf.DUMMYFUNCTION("""COMPUTED_VALUE"""),0.0)</f>
        <v>0</v>
      </c>
      <c r="M57" s="6" t="str">
        <f>IFERROR(__xludf.DUMMYFUNCTION("""COMPUTED_VALUE"""),"2023-04")</f>
        <v>2023-04</v>
      </c>
    </row>
    <row r="58">
      <c r="A58" s="6" t="str">
        <f>IFERROR(__xludf.DUMMYFUNCTION("""COMPUTED_VALUE"""),"9d4fd1f3-03b1-40ea-ab1e-1e481dceca88")</f>
        <v>9d4fd1f3-03b1-40ea-ab1e-1e481dceca88</v>
      </c>
      <c r="B58" s="6" t="str">
        <f>IFERROR(__xludf.DUMMYFUNCTION("""COMPUTED_VALUE"""),"14f1e045-f9a8-4a64-8fa9-39083ee7ced7")</f>
        <v>14f1e045-f9a8-4a64-8fa9-39083ee7ced7</v>
      </c>
      <c r="C58" s="7">
        <f>IFERROR(__xludf.DUMMYFUNCTION("""COMPUTED_VALUE"""),44934.0)</f>
        <v>44934</v>
      </c>
      <c r="D58" s="8">
        <f>IFERROR(__xludf.DUMMYFUNCTION("""COMPUTED_VALUE"""),1.998382E7)</f>
        <v>19983820</v>
      </c>
      <c r="E58" s="6" t="str">
        <f>IFERROR(__xludf.DUMMYFUNCTION("""COMPUTED_VALUE"""),"SERIES")</f>
        <v>SERIES</v>
      </c>
      <c r="F58" s="6" t="str">
        <f>IFERROR(__xludf.DUMMYFUNCTION("""COMPUTED_VALUE"""),"Comedy")</f>
        <v>Comedy</v>
      </c>
      <c r="G58" s="6">
        <f>IFERROR(__xludf.DUMMYFUNCTION("""COMPUTED_VALUE"""),70.0)</f>
        <v>70</v>
      </c>
      <c r="H58" s="6">
        <f>IFERROR(__xludf.DUMMYFUNCTION("""COMPUTED_VALUE"""),0.0)</f>
        <v>0</v>
      </c>
      <c r="I58" s="6" t="str">
        <f>IFERROR(__xludf.DUMMYFUNCTION("""COMPUTED_VALUE"""),"Mobile")</f>
        <v>Mobile</v>
      </c>
      <c r="J58" s="6" t="str">
        <f>IFERROR(__xludf.DUMMYFUNCTION("""COMPUTED_VALUE"""),"India")</f>
        <v>India</v>
      </c>
      <c r="K58" s="6" t="str">
        <f>IFERROR(__xludf.DUMMYFUNCTION("""COMPUTED_VALUE"""),"Premium")</f>
        <v>Premium</v>
      </c>
      <c r="L58" s="6">
        <f>IFERROR(__xludf.DUMMYFUNCTION("""COMPUTED_VALUE"""),0.0)</f>
        <v>0</v>
      </c>
      <c r="M58" s="6" t="str">
        <f>IFERROR(__xludf.DUMMYFUNCTION("""COMPUTED_VALUE"""),"2023-01")</f>
        <v>2023-01</v>
      </c>
    </row>
    <row r="59">
      <c r="A59" s="6" t="str">
        <f>IFERROR(__xludf.DUMMYFUNCTION("""COMPUTED_VALUE"""),"af363055-2429-4817-ac39-222f52ce2c28")</f>
        <v>af363055-2429-4817-ac39-222f52ce2c28</v>
      </c>
      <c r="B59" s="6" t="str">
        <f>IFERROR(__xludf.DUMMYFUNCTION("""COMPUTED_VALUE"""),"1596f2f8-8dec-4358-926c-833304522960")</f>
        <v>1596f2f8-8dec-4358-926c-833304522960</v>
      </c>
      <c r="C59" s="7">
        <f>IFERROR(__xludf.DUMMYFUNCTION("""COMPUTED_VALUE"""),45079.0)</f>
        <v>45079</v>
      </c>
      <c r="D59" s="8">
        <f>IFERROR(__xludf.DUMMYFUNCTION("""COMPUTED_VALUE"""),2153643.0)</f>
        <v>2153643</v>
      </c>
      <c r="E59" s="6" t="str">
        <f>IFERROR(__xludf.DUMMYFUNCTION("""COMPUTED_VALUE"""),"MOVIE")</f>
        <v>MOVIE</v>
      </c>
      <c r="F59" s="6" t="str">
        <f>IFERROR(__xludf.DUMMYFUNCTION("""COMPUTED_VALUE"""),"Drama")</f>
        <v>Drama</v>
      </c>
      <c r="G59" s="6">
        <f>IFERROR(__xludf.DUMMYFUNCTION("""COMPUTED_VALUE"""),84.0)</f>
        <v>84</v>
      </c>
      <c r="H59" s="6">
        <f>IFERROR(__xludf.DUMMYFUNCTION("""COMPUTED_VALUE"""),1.0)</f>
        <v>1</v>
      </c>
      <c r="I59" s="6" t="str">
        <f>IFERROR(__xludf.DUMMYFUNCTION("""COMPUTED_VALUE"""),"Tablet")</f>
        <v>Tablet</v>
      </c>
      <c r="J59" s="6" t="str">
        <f>IFERROR(__xludf.DUMMYFUNCTION("""COMPUTED_VALUE"""),"India")</f>
        <v>India</v>
      </c>
      <c r="K59" s="6" t="str">
        <f>IFERROR(__xludf.DUMMYFUNCTION("""COMPUTED_VALUE"""),"Premium")</f>
        <v>Premium</v>
      </c>
      <c r="L59" s="6">
        <f>IFERROR(__xludf.DUMMYFUNCTION("""COMPUTED_VALUE"""),0.0)</f>
        <v>0</v>
      </c>
      <c r="M59" s="6" t="str">
        <f>IFERROR(__xludf.DUMMYFUNCTION("""COMPUTED_VALUE"""),"2023-06")</f>
        <v>2023-06</v>
      </c>
    </row>
    <row r="60">
      <c r="A60" s="6" t="str">
        <f>IFERROR(__xludf.DUMMYFUNCTION("""COMPUTED_VALUE"""),"07d71e2f-445a-4295-8698-66f28a589b3b")</f>
        <v>07d71e2f-445a-4295-8698-66f28a589b3b</v>
      </c>
      <c r="B60" s="6" t="str">
        <f>IFERROR(__xludf.DUMMYFUNCTION("""COMPUTED_VALUE"""),"161669db-e23f-4288-a3b4-c4f7ee03449b")</f>
        <v>161669db-e23f-4288-a3b4-c4f7ee03449b</v>
      </c>
      <c r="C60" s="7">
        <f>IFERROR(__xludf.DUMMYFUNCTION("""COMPUTED_VALUE"""),45070.0)</f>
        <v>45070</v>
      </c>
      <c r="D60" s="8">
        <f>IFERROR(__xludf.DUMMYFUNCTION("""COMPUTED_VALUE"""),3.721489E7)</f>
        <v>37214890</v>
      </c>
      <c r="E60" s="6" t="str">
        <f>IFERROR(__xludf.DUMMYFUNCTION("""COMPUTED_VALUE"""),"DOCUMENTARY")</f>
        <v>DOCUMENTARY</v>
      </c>
      <c r="F60" s="6" t="str">
        <f>IFERROR(__xludf.DUMMYFUNCTION("""COMPUTED_VALUE"""),"Action")</f>
        <v>Action</v>
      </c>
      <c r="G60" s="6">
        <f>IFERROR(__xludf.DUMMYFUNCTION("""COMPUTED_VALUE"""),179.0)</f>
        <v>179</v>
      </c>
      <c r="H60" s="6">
        <f>IFERROR(__xludf.DUMMYFUNCTION("""COMPUTED_VALUE"""),1.0)</f>
        <v>1</v>
      </c>
      <c r="I60" s="6" t="str">
        <f>IFERROR(__xludf.DUMMYFUNCTION("""COMPUTED_VALUE"""),"Mobile")</f>
        <v>Mobile</v>
      </c>
      <c r="J60" s="6" t="str">
        <f>IFERROR(__xludf.DUMMYFUNCTION("""COMPUTED_VALUE"""),"India")</f>
        <v>India</v>
      </c>
      <c r="K60" s="6" t="str">
        <f>IFERROR(__xludf.DUMMYFUNCTION("""COMPUTED_VALUE"""),"Standard")</f>
        <v>Standard</v>
      </c>
      <c r="L60" s="6">
        <f>IFERROR(__xludf.DUMMYFUNCTION("""COMPUTED_VALUE"""),0.0)</f>
        <v>0</v>
      </c>
      <c r="M60" s="6" t="str">
        <f>IFERROR(__xludf.DUMMYFUNCTION("""COMPUTED_VALUE"""),"2023-05")</f>
        <v>2023-05</v>
      </c>
    </row>
    <row r="61">
      <c r="A61" s="6" t="str">
        <f>IFERROR(__xludf.DUMMYFUNCTION("""COMPUTED_VALUE"""),"b4d3060b-69a0-4929-8999-806ccfa0dd49")</f>
        <v>b4d3060b-69a0-4929-8999-806ccfa0dd49</v>
      </c>
      <c r="B61" s="6" t="str">
        <f>IFERROR(__xludf.DUMMYFUNCTION("""COMPUTED_VALUE"""),"165ede97-1c8b-41c8-9dbf-afb13decddd1")</f>
        <v>165ede97-1c8b-41c8-9dbf-afb13decddd1</v>
      </c>
      <c r="C61" s="7">
        <f>IFERROR(__xludf.DUMMYFUNCTION("""COMPUTED_VALUE"""),45240.0)</f>
        <v>45240</v>
      </c>
      <c r="D61" s="8">
        <f>IFERROR(__xludf.DUMMYFUNCTION("""COMPUTED_VALUE"""),5574841.0)</f>
        <v>5574841</v>
      </c>
      <c r="E61" s="6" t="str">
        <f>IFERROR(__xludf.DUMMYFUNCTION("""COMPUTED_VALUE"""),"SERIES")</f>
        <v>SERIES</v>
      </c>
      <c r="F61" s="6" t="str">
        <f>IFERROR(__xludf.DUMMYFUNCTION("""COMPUTED_VALUE"""),"Drama")</f>
        <v>Drama</v>
      </c>
      <c r="G61" s="6">
        <f>IFERROR(__xludf.DUMMYFUNCTION("""COMPUTED_VALUE"""),14.0)</f>
        <v>14</v>
      </c>
      <c r="H61" s="6">
        <f>IFERROR(__xludf.DUMMYFUNCTION("""COMPUTED_VALUE"""),0.0)</f>
        <v>0</v>
      </c>
      <c r="I61" s="6" t="str">
        <f>IFERROR(__xludf.DUMMYFUNCTION("""COMPUTED_VALUE"""),"Desktop")</f>
        <v>Desktop</v>
      </c>
      <c r="J61" s="6" t="str">
        <f>IFERROR(__xludf.DUMMYFUNCTION("""COMPUTED_VALUE"""),"India")</f>
        <v>India</v>
      </c>
      <c r="K61" s="6" t="str">
        <f>IFERROR(__xludf.DUMMYFUNCTION("""COMPUTED_VALUE"""),"Basic")</f>
        <v>Basic</v>
      </c>
      <c r="L61" s="6">
        <f>IFERROR(__xludf.DUMMYFUNCTION("""COMPUTED_VALUE"""),0.0)</f>
        <v>0</v>
      </c>
      <c r="M61" s="6" t="str">
        <f>IFERROR(__xludf.DUMMYFUNCTION("""COMPUTED_VALUE"""),"2023-11")</f>
        <v>2023-11</v>
      </c>
    </row>
    <row r="62">
      <c r="A62" s="6" t="str">
        <f>IFERROR(__xludf.DUMMYFUNCTION("""COMPUTED_VALUE"""),"1669782b-67bc-4149-82c3-a5fd79f5f78f")</f>
        <v>1669782b-67bc-4149-82c3-a5fd79f5f78f</v>
      </c>
      <c r="B62" s="6" t="str">
        <f>IFERROR(__xludf.DUMMYFUNCTION("""COMPUTED_VALUE"""),"16a2f117-c048-4306-8b8b-f507787c1ffe")</f>
        <v>16a2f117-c048-4306-8b8b-f507787c1ffe</v>
      </c>
      <c r="C62" s="7">
        <f>IFERROR(__xludf.DUMMYFUNCTION("""COMPUTED_VALUE"""),45024.0)</f>
        <v>45024</v>
      </c>
      <c r="D62" s="8">
        <f>IFERROR(__xludf.DUMMYFUNCTION("""COMPUTED_VALUE"""),9.9961022E7)</f>
        <v>99961022</v>
      </c>
      <c r="E62" s="6" t="str">
        <f>IFERROR(__xludf.DUMMYFUNCTION("""COMPUTED_VALUE"""),"SERIES")</f>
        <v>SERIES</v>
      </c>
      <c r="F62" s="6" t="str">
        <f>IFERROR(__xludf.DUMMYFUNCTION("""COMPUTED_VALUE"""),"Action")</f>
        <v>Action</v>
      </c>
      <c r="G62" s="6">
        <f>IFERROR(__xludf.DUMMYFUNCTION("""COMPUTED_VALUE"""),168.0)</f>
        <v>168</v>
      </c>
      <c r="H62" s="6">
        <f>IFERROR(__xludf.DUMMYFUNCTION("""COMPUTED_VALUE"""),0.0)</f>
        <v>0</v>
      </c>
      <c r="I62" s="6" t="str">
        <f>IFERROR(__xludf.DUMMYFUNCTION("""COMPUTED_VALUE"""),"Desktop")</f>
        <v>Desktop</v>
      </c>
      <c r="J62" s="6" t="str">
        <f>IFERROR(__xludf.DUMMYFUNCTION("""COMPUTED_VALUE"""),"France")</f>
        <v>France</v>
      </c>
      <c r="K62" s="6" t="str">
        <f>IFERROR(__xludf.DUMMYFUNCTION("""COMPUTED_VALUE"""),"Basic")</f>
        <v>Basic</v>
      </c>
      <c r="L62" s="6">
        <f>IFERROR(__xludf.DUMMYFUNCTION("""COMPUTED_VALUE"""),0.0)</f>
        <v>0</v>
      </c>
      <c r="M62" s="6" t="str">
        <f>IFERROR(__xludf.DUMMYFUNCTION("""COMPUTED_VALUE"""),"2023-04")</f>
        <v>2023-04</v>
      </c>
    </row>
    <row r="63">
      <c r="A63" s="6" t="str">
        <f>IFERROR(__xludf.DUMMYFUNCTION("""COMPUTED_VALUE"""),"6bca1e75-9ae5-438a-b81f-9891daeac25a")</f>
        <v>6bca1e75-9ae5-438a-b81f-9891daeac25a</v>
      </c>
      <c r="B63" s="6" t="str">
        <f>IFERROR(__xludf.DUMMYFUNCTION("""COMPUTED_VALUE"""),"170c4a9f-1705-47f2-b328-80ad332410ef")</f>
        <v>170c4a9f-1705-47f2-b328-80ad332410ef</v>
      </c>
      <c r="C63" s="7">
        <f>IFERROR(__xludf.DUMMYFUNCTION("""COMPUTED_VALUE"""),45245.0)</f>
        <v>45245</v>
      </c>
      <c r="D63" s="8">
        <f>IFERROR(__xludf.DUMMYFUNCTION("""COMPUTED_VALUE"""),6.7483617E7)</f>
        <v>67483617</v>
      </c>
      <c r="E63" s="6" t="str">
        <f>IFERROR(__xludf.DUMMYFUNCTION("""COMPUTED_VALUE"""),"SERIES")</f>
        <v>SERIES</v>
      </c>
      <c r="F63" s="6" t="str">
        <f>IFERROR(__xludf.DUMMYFUNCTION("""COMPUTED_VALUE"""),"Thriller")</f>
        <v>Thriller</v>
      </c>
      <c r="G63" s="6">
        <f>IFERROR(__xludf.DUMMYFUNCTION("""COMPUTED_VALUE"""),139.0)</f>
        <v>139</v>
      </c>
      <c r="H63" s="6">
        <f>IFERROR(__xludf.DUMMYFUNCTION("""COMPUTED_VALUE"""),0.0)</f>
        <v>0</v>
      </c>
      <c r="I63" s="6" t="str">
        <f>IFERROR(__xludf.DUMMYFUNCTION("""COMPUTED_VALUE"""),"Desktop")</f>
        <v>Desktop</v>
      </c>
      <c r="J63" s="6" t="str">
        <f>IFERROR(__xludf.DUMMYFUNCTION("""COMPUTED_VALUE"""),"Germany")</f>
        <v>Germany</v>
      </c>
      <c r="K63" s="6" t="str">
        <f>IFERROR(__xludf.DUMMYFUNCTION("""COMPUTED_VALUE"""),"Basic")</f>
        <v>Basic</v>
      </c>
      <c r="L63" s="6">
        <f>IFERROR(__xludf.DUMMYFUNCTION("""COMPUTED_VALUE"""),0.0)</f>
        <v>0</v>
      </c>
      <c r="M63" s="6" t="str">
        <f>IFERROR(__xludf.DUMMYFUNCTION("""COMPUTED_VALUE"""),"2023-11")</f>
        <v>2023-11</v>
      </c>
    </row>
    <row r="64">
      <c r="A64" s="6" t="str">
        <f>IFERROR(__xludf.DUMMYFUNCTION("""COMPUTED_VALUE"""),"9b935e61-28d1-4f89-87f9-e252d474ae8e")</f>
        <v>9b935e61-28d1-4f89-87f9-e252d474ae8e</v>
      </c>
      <c r="B64" s="6" t="str">
        <f>IFERROR(__xludf.DUMMYFUNCTION("""COMPUTED_VALUE"""),"1716ea8d-48a9-4985-b801-de4d5cc30d09")</f>
        <v>1716ea8d-48a9-4985-b801-de4d5cc30d09</v>
      </c>
      <c r="C64" s="7">
        <f>IFERROR(__xludf.DUMMYFUNCTION("""COMPUTED_VALUE"""),44965.0)</f>
        <v>44965</v>
      </c>
      <c r="D64" s="8">
        <f>IFERROR(__xludf.DUMMYFUNCTION("""COMPUTED_VALUE"""),7.4811212E7)</f>
        <v>74811212</v>
      </c>
      <c r="E64" s="6" t="str">
        <f>IFERROR(__xludf.DUMMYFUNCTION("""COMPUTED_VALUE"""),"MOVIE")</f>
        <v>MOVIE</v>
      </c>
      <c r="F64" s="6" t="str">
        <f>IFERROR(__xludf.DUMMYFUNCTION("""COMPUTED_VALUE"""),"Thriller")</f>
        <v>Thriller</v>
      </c>
      <c r="G64" s="6">
        <f>IFERROR(__xludf.DUMMYFUNCTION("""COMPUTED_VALUE"""),45.0)</f>
        <v>45</v>
      </c>
      <c r="H64" s="6">
        <f>IFERROR(__xludf.DUMMYFUNCTION("""COMPUTED_VALUE"""),1.0)</f>
        <v>1</v>
      </c>
      <c r="I64" s="6" t="str">
        <f>IFERROR(__xludf.DUMMYFUNCTION("""COMPUTED_VALUE"""),"Tablet")</f>
        <v>Tablet</v>
      </c>
      <c r="J64" s="6" t="str">
        <f>IFERROR(__xludf.DUMMYFUNCTION("""COMPUTED_VALUE"""),"India")</f>
        <v>India</v>
      </c>
      <c r="K64" s="6" t="str">
        <f>IFERROR(__xludf.DUMMYFUNCTION("""COMPUTED_VALUE"""),"Standard")</f>
        <v>Standard</v>
      </c>
      <c r="L64" s="6">
        <f>IFERROR(__xludf.DUMMYFUNCTION("""COMPUTED_VALUE"""),0.0)</f>
        <v>0</v>
      </c>
      <c r="M64" s="6" t="str">
        <f>IFERROR(__xludf.DUMMYFUNCTION("""COMPUTED_VALUE"""),"2023-02")</f>
        <v>2023-02</v>
      </c>
    </row>
    <row r="65">
      <c r="A65" s="6" t="str">
        <f>IFERROR(__xludf.DUMMYFUNCTION("""COMPUTED_VALUE"""),"5632aace-6a90-4998-9ad4-2520f5b449e1")</f>
        <v>5632aace-6a90-4998-9ad4-2520f5b449e1</v>
      </c>
      <c r="B65" s="6" t="str">
        <f>IFERROR(__xludf.DUMMYFUNCTION("""COMPUTED_VALUE"""),"172e78a5-3176-4e40-b70b-2faa47e5f571")</f>
        <v>172e78a5-3176-4e40-b70b-2faa47e5f571</v>
      </c>
      <c r="C65" s="7">
        <f>IFERROR(__xludf.DUMMYFUNCTION("""COMPUTED_VALUE"""),45092.0)</f>
        <v>45092</v>
      </c>
      <c r="D65" s="8">
        <f>IFERROR(__xludf.DUMMYFUNCTION("""COMPUTED_VALUE"""),5.0913152E7)</f>
        <v>50913152</v>
      </c>
      <c r="E65" s="6" t="str">
        <f>IFERROR(__xludf.DUMMYFUNCTION("""COMPUTED_VALUE"""),"SERIES")</f>
        <v>SERIES</v>
      </c>
      <c r="F65" s="6" t="str">
        <f>IFERROR(__xludf.DUMMYFUNCTION("""COMPUTED_VALUE"""),"Comedy")</f>
        <v>Comedy</v>
      </c>
      <c r="G65" s="6">
        <f>IFERROR(__xludf.DUMMYFUNCTION("""COMPUTED_VALUE"""),106.0)</f>
        <v>106</v>
      </c>
      <c r="H65" s="6">
        <f>IFERROR(__xludf.DUMMYFUNCTION("""COMPUTED_VALUE"""),1.0)</f>
        <v>1</v>
      </c>
      <c r="I65" s="6" t="str">
        <f>IFERROR(__xludf.DUMMYFUNCTION("""COMPUTED_VALUE"""),"Mobile")</f>
        <v>Mobile</v>
      </c>
      <c r="J65" s="6" t="str">
        <f>IFERROR(__xludf.DUMMYFUNCTION("""COMPUTED_VALUE"""),"India")</f>
        <v>India</v>
      </c>
      <c r="K65" s="6" t="str">
        <f>IFERROR(__xludf.DUMMYFUNCTION("""COMPUTED_VALUE"""),"Basic")</f>
        <v>Basic</v>
      </c>
      <c r="L65" s="6">
        <f>IFERROR(__xludf.DUMMYFUNCTION("""COMPUTED_VALUE"""),0.0)</f>
        <v>0</v>
      </c>
      <c r="M65" s="6" t="str">
        <f>IFERROR(__xludf.DUMMYFUNCTION("""COMPUTED_VALUE"""),"2023-06")</f>
        <v>2023-06</v>
      </c>
    </row>
    <row r="66">
      <c r="A66" s="6" t="str">
        <f>IFERROR(__xludf.DUMMYFUNCTION("""COMPUTED_VALUE"""),"30e021a0-49c8-4c58-a1df-f1c41d6ba6d9")</f>
        <v>30e021a0-49c8-4c58-a1df-f1c41d6ba6d9</v>
      </c>
      <c r="B66" s="6" t="str">
        <f>IFERROR(__xludf.DUMMYFUNCTION("""COMPUTED_VALUE"""),"173591dd-9b6d-4474-9bfe-0e5128d8fd01")</f>
        <v>173591dd-9b6d-4474-9bfe-0e5128d8fd01</v>
      </c>
      <c r="C66" s="7">
        <f>IFERROR(__xludf.DUMMYFUNCTION("""COMPUTED_VALUE"""),45197.0)</f>
        <v>45197</v>
      </c>
      <c r="D66" s="8">
        <f>IFERROR(__xludf.DUMMYFUNCTION("""COMPUTED_VALUE"""),1158007.0)</f>
        <v>1158007</v>
      </c>
      <c r="E66" s="6" t="str">
        <f>IFERROR(__xludf.DUMMYFUNCTION("""COMPUTED_VALUE"""),"MOVIE")</f>
        <v>MOVIE</v>
      </c>
      <c r="F66" s="6" t="str">
        <f>IFERROR(__xludf.DUMMYFUNCTION("""COMPUTED_VALUE"""),"Action")</f>
        <v>Action</v>
      </c>
      <c r="G66" s="6">
        <f>IFERROR(__xludf.DUMMYFUNCTION("""COMPUTED_VALUE"""),162.0)</f>
        <v>162</v>
      </c>
      <c r="H66" s="6">
        <f>IFERROR(__xludf.DUMMYFUNCTION("""COMPUTED_VALUE"""),1.0)</f>
        <v>1</v>
      </c>
      <c r="I66" s="6" t="str">
        <f>IFERROR(__xludf.DUMMYFUNCTION("""COMPUTED_VALUE"""),"Smart Tv")</f>
        <v>Smart Tv</v>
      </c>
      <c r="J66" s="6" t="str">
        <f>IFERROR(__xludf.DUMMYFUNCTION("""COMPUTED_VALUE"""),"France")</f>
        <v>France</v>
      </c>
      <c r="K66" s="6" t="str">
        <f>IFERROR(__xludf.DUMMYFUNCTION("""COMPUTED_VALUE"""),"Standard")</f>
        <v>Standard</v>
      </c>
      <c r="L66" s="6">
        <f>IFERROR(__xludf.DUMMYFUNCTION("""COMPUTED_VALUE"""),0.0)</f>
        <v>0</v>
      </c>
      <c r="M66" s="6" t="str">
        <f>IFERROR(__xludf.DUMMYFUNCTION("""COMPUTED_VALUE"""),"2023-09")</f>
        <v>2023-09</v>
      </c>
    </row>
    <row r="67">
      <c r="A67" s="6" t="str">
        <f>IFERROR(__xludf.DUMMYFUNCTION("""COMPUTED_VALUE"""),"00edb229-b6b5-4cde-a234-0b21c4d15705")</f>
        <v>00edb229-b6b5-4cde-a234-0b21c4d15705</v>
      </c>
      <c r="B67" s="6" t="str">
        <f>IFERROR(__xludf.DUMMYFUNCTION("""COMPUTED_VALUE"""),"17a04f42-fd0d-467d-8d3e-1e1ea979ed66")</f>
        <v>17a04f42-fd0d-467d-8d3e-1e1ea979ed66</v>
      </c>
      <c r="C67" s="7">
        <f>IFERROR(__xludf.DUMMYFUNCTION("""COMPUTED_VALUE"""),44940.0)</f>
        <v>44940</v>
      </c>
      <c r="D67" s="8">
        <f>IFERROR(__xludf.DUMMYFUNCTION("""COMPUTED_VALUE"""),8.4169532E7)</f>
        <v>84169532</v>
      </c>
      <c r="E67" s="6" t="str">
        <f>IFERROR(__xludf.DUMMYFUNCTION("""COMPUTED_VALUE"""),"DOCUMENTARY")</f>
        <v>DOCUMENTARY</v>
      </c>
      <c r="F67" s="6" t="str">
        <f>IFERROR(__xludf.DUMMYFUNCTION("""COMPUTED_VALUE"""),"Action")</f>
        <v>Action</v>
      </c>
      <c r="G67" s="6">
        <f>IFERROR(__xludf.DUMMYFUNCTION("""COMPUTED_VALUE"""),56.0)</f>
        <v>56</v>
      </c>
      <c r="H67" s="6">
        <f>IFERROR(__xludf.DUMMYFUNCTION("""COMPUTED_VALUE"""),1.0)</f>
        <v>1</v>
      </c>
      <c r="I67" s="6" t="str">
        <f>IFERROR(__xludf.DUMMYFUNCTION("""COMPUTED_VALUE"""),"Desktop")</f>
        <v>Desktop</v>
      </c>
      <c r="J67" s="6" t="str">
        <f>IFERROR(__xludf.DUMMYFUNCTION("""COMPUTED_VALUE"""),"Uk")</f>
        <v>Uk</v>
      </c>
      <c r="K67" s="6" t="str">
        <f>IFERROR(__xludf.DUMMYFUNCTION("""COMPUTED_VALUE"""),"Premium")</f>
        <v>Premium</v>
      </c>
      <c r="L67" s="6">
        <f>IFERROR(__xludf.DUMMYFUNCTION("""COMPUTED_VALUE"""),0.0)</f>
        <v>0</v>
      </c>
      <c r="M67" s="6" t="str">
        <f>IFERROR(__xludf.DUMMYFUNCTION("""COMPUTED_VALUE"""),"2023-01")</f>
        <v>2023-01</v>
      </c>
    </row>
    <row r="68">
      <c r="A68" s="6" t="str">
        <f>IFERROR(__xludf.DUMMYFUNCTION("""COMPUTED_VALUE"""),"189628c5-4d8c-4f7a-a7bb-345f76883842")</f>
        <v>189628c5-4d8c-4f7a-a7bb-345f76883842</v>
      </c>
      <c r="B68" s="6" t="str">
        <f>IFERROR(__xludf.DUMMYFUNCTION("""COMPUTED_VALUE"""),"17ab7bb5-6bbc-41c1-ab16-8ae6ca3fb823")</f>
        <v>17ab7bb5-6bbc-41c1-ab16-8ae6ca3fb823</v>
      </c>
      <c r="C68" s="7">
        <f>IFERROR(__xludf.DUMMYFUNCTION("""COMPUTED_VALUE"""),45071.0)</f>
        <v>45071</v>
      </c>
      <c r="D68" s="8">
        <f>IFERROR(__xludf.DUMMYFUNCTION("""COMPUTED_VALUE"""),4.3341153E7)</f>
        <v>43341153</v>
      </c>
      <c r="E68" s="6" t="str">
        <f>IFERROR(__xludf.DUMMYFUNCTION("""COMPUTED_VALUE"""),"SERIES")</f>
        <v>SERIES</v>
      </c>
      <c r="F68" s="6" t="str">
        <f>IFERROR(__xludf.DUMMYFUNCTION("""COMPUTED_VALUE"""),"Drama")</f>
        <v>Drama</v>
      </c>
      <c r="G68" s="6">
        <f>IFERROR(__xludf.DUMMYFUNCTION("""COMPUTED_VALUE"""),99.0)</f>
        <v>99</v>
      </c>
      <c r="H68" s="6">
        <f>IFERROR(__xludf.DUMMYFUNCTION("""COMPUTED_VALUE"""),1.0)</f>
        <v>1</v>
      </c>
      <c r="I68" s="6" t="str">
        <f>IFERROR(__xludf.DUMMYFUNCTION("""COMPUTED_VALUE"""),"Desktop")</f>
        <v>Desktop</v>
      </c>
      <c r="J68" s="6" t="str">
        <f>IFERROR(__xludf.DUMMYFUNCTION("""COMPUTED_VALUE"""),"Usa")</f>
        <v>Usa</v>
      </c>
      <c r="K68" s="6" t="str">
        <f>IFERROR(__xludf.DUMMYFUNCTION("""COMPUTED_VALUE"""),"Basic")</f>
        <v>Basic</v>
      </c>
      <c r="L68" s="6">
        <f>IFERROR(__xludf.DUMMYFUNCTION("""COMPUTED_VALUE"""),0.0)</f>
        <v>0</v>
      </c>
      <c r="M68" s="6" t="str">
        <f>IFERROR(__xludf.DUMMYFUNCTION("""COMPUTED_VALUE"""),"2023-05")</f>
        <v>2023-05</v>
      </c>
    </row>
    <row r="69">
      <c r="A69" s="6" t="str">
        <f>IFERROR(__xludf.DUMMYFUNCTION("""COMPUTED_VALUE"""),"d48c99c8-b97f-408e-967c-44f24cf40b3d")</f>
        <v>d48c99c8-b97f-408e-967c-44f24cf40b3d</v>
      </c>
      <c r="B69" s="6" t="str">
        <f>IFERROR(__xludf.DUMMYFUNCTION("""COMPUTED_VALUE"""),"18874510-3c31-4de3-9ce2-62ddb97c9cf7")</f>
        <v>18874510-3c31-4de3-9ce2-62ddb97c9cf7</v>
      </c>
      <c r="C69" s="7">
        <f>IFERROR(__xludf.DUMMYFUNCTION("""COMPUTED_VALUE"""),45125.0)</f>
        <v>45125</v>
      </c>
      <c r="D69" s="8">
        <f>IFERROR(__xludf.DUMMYFUNCTION("""COMPUTED_VALUE"""),3.4814987E7)</f>
        <v>34814987</v>
      </c>
      <c r="E69" s="6" t="str">
        <f>IFERROR(__xludf.DUMMYFUNCTION("""COMPUTED_VALUE"""),"MOVIE")</f>
        <v>MOVIE</v>
      </c>
      <c r="F69" s="6" t="str">
        <f>IFERROR(__xludf.DUMMYFUNCTION("""COMPUTED_VALUE"""),"Sci-Fi")</f>
        <v>Sci-Fi</v>
      </c>
      <c r="G69" s="6">
        <f>IFERROR(__xludf.DUMMYFUNCTION("""COMPUTED_VALUE"""),37.0)</f>
        <v>37</v>
      </c>
      <c r="H69" s="6">
        <f>IFERROR(__xludf.DUMMYFUNCTION("""COMPUTED_VALUE"""),0.0)</f>
        <v>0</v>
      </c>
      <c r="I69" s="6" t="str">
        <f>IFERROR(__xludf.DUMMYFUNCTION("""COMPUTED_VALUE"""),"Smart Tv")</f>
        <v>Smart Tv</v>
      </c>
      <c r="J69" s="6" t="str">
        <f>IFERROR(__xludf.DUMMYFUNCTION("""COMPUTED_VALUE"""),"Germany")</f>
        <v>Germany</v>
      </c>
      <c r="K69" s="6" t="str">
        <f>IFERROR(__xludf.DUMMYFUNCTION("""COMPUTED_VALUE"""),"Basic")</f>
        <v>Basic</v>
      </c>
      <c r="L69" s="6">
        <f>IFERROR(__xludf.DUMMYFUNCTION("""COMPUTED_VALUE"""),0.0)</f>
        <v>0</v>
      </c>
      <c r="M69" s="6" t="str">
        <f>IFERROR(__xludf.DUMMYFUNCTION("""COMPUTED_VALUE"""),"2023-07")</f>
        <v>2023-07</v>
      </c>
    </row>
    <row r="70">
      <c r="A70" s="6" t="str">
        <f>IFERROR(__xludf.DUMMYFUNCTION("""COMPUTED_VALUE"""),"52825876-7dd1-4306-bdca-ca2cff1b17e5")</f>
        <v>52825876-7dd1-4306-bdca-ca2cff1b17e5</v>
      </c>
      <c r="B70" s="6" t="str">
        <f>IFERROR(__xludf.DUMMYFUNCTION("""COMPUTED_VALUE"""),"18d69a54-3e66-4717-a26f-07192f0fc186")</f>
        <v>18d69a54-3e66-4717-a26f-07192f0fc186</v>
      </c>
      <c r="C70" s="7">
        <f>IFERROR(__xludf.DUMMYFUNCTION("""COMPUTED_VALUE"""),45189.0)</f>
        <v>45189</v>
      </c>
      <c r="D70" s="8">
        <f>IFERROR(__xludf.DUMMYFUNCTION("""COMPUTED_VALUE"""),4.096711E7)</f>
        <v>40967110</v>
      </c>
      <c r="E70" s="6" t="str">
        <f>IFERROR(__xludf.DUMMYFUNCTION("""COMPUTED_VALUE"""),"DOCUMENTARY")</f>
        <v>DOCUMENTARY</v>
      </c>
      <c r="F70" s="6" t="str">
        <f>IFERROR(__xludf.DUMMYFUNCTION("""COMPUTED_VALUE"""),"Comedy")</f>
        <v>Comedy</v>
      </c>
      <c r="G70" s="6">
        <f>IFERROR(__xludf.DUMMYFUNCTION("""COMPUTED_VALUE"""),146.0)</f>
        <v>146</v>
      </c>
      <c r="H70" s="6">
        <f>IFERROR(__xludf.DUMMYFUNCTION("""COMPUTED_VALUE"""),0.0)</f>
        <v>0</v>
      </c>
      <c r="I70" s="6" t="str">
        <f>IFERROR(__xludf.DUMMYFUNCTION("""COMPUTED_VALUE"""),"Mobile")</f>
        <v>Mobile</v>
      </c>
      <c r="J70" s="6" t="str">
        <f>IFERROR(__xludf.DUMMYFUNCTION("""COMPUTED_VALUE"""),"Usa")</f>
        <v>Usa</v>
      </c>
      <c r="K70" s="6" t="str">
        <f>IFERROR(__xludf.DUMMYFUNCTION("""COMPUTED_VALUE"""),"Premium")</f>
        <v>Premium</v>
      </c>
      <c r="L70" s="6">
        <f>IFERROR(__xludf.DUMMYFUNCTION("""COMPUTED_VALUE"""),0.0)</f>
        <v>0</v>
      </c>
      <c r="M70" s="6" t="str">
        <f>IFERROR(__xludf.DUMMYFUNCTION("""COMPUTED_VALUE"""),"2023-09")</f>
        <v>2023-09</v>
      </c>
    </row>
    <row r="71">
      <c r="A71" s="6" t="str">
        <f>IFERROR(__xludf.DUMMYFUNCTION("""COMPUTED_VALUE"""),"38b7db84-c39a-41ec-92b4-6ef212905a3a")</f>
        <v>38b7db84-c39a-41ec-92b4-6ef212905a3a</v>
      </c>
      <c r="B71" s="6" t="str">
        <f>IFERROR(__xludf.DUMMYFUNCTION("""COMPUTED_VALUE"""),"19261a3f-5bc6-4452-9884-5c17bd873a2d")</f>
        <v>19261a3f-5bc6-4452-9884-5c17bd873a2d</v>
      </c>
      <c r="C71" s="7">
        <f>IFERROR(__xludf.DUMMYFUNCTION("""COMPUTED_VALUE"""),45038.0)</f>
        <v>45038</v>
      </c>
      <c r="D71" s="8">
        <f>IFERROR(__xludf.DUMMYFUNCTION("""COMPUTED_VALUE"""),2.7339169E7)</f>
        <v>27339169</v>
      </c>
      <c r="E71" s="6" t="str">
        <f>IFERROR(__xludf.DUMMYFUNCTION("""COMPUTED_VALUE"""),"SERIES")</f>
        <v>SERIES</v>
      </c>
      <c r="F71" s="6" t="str">
        <f>IFERROR(__xludf.DUMMYFUNCTION("""COMPUTED_VALUE"""),"Sci-Fi")</f>
        <v>Sci-Fi</v>
      </c>
      <c r="G71" s="6">
        <f>IFERROR(__xludf.DUMMYFUNCTION("""COMPUTED_VALUE"""),174.0)</f>
        <v>174</v>
      </c>
      <c r="H71" s="6">
        <f>IFERROR(__xludf.DUMMYFUNCTION("""COMPUTED_VALUE"""),1.0)</f>
        <v>1</v>
      </c>
      <c r="I71" s="6" t="str">
        <f>IFERROR(__xludf.DUMMYFUNCTION("""COMPUTED_VALUE"""),"Mobile")</f>
        <v>Mobile</v>
      </c>
      <c r="J71" s="6" t="str">
        <f>IFERROR(__xludf.DUMMYFUNCTION("""COMPUTED_VALUE"""),"Usa")</f>
        <v>Usa</v>
      </c>
      <c r="K71" s="6" t="str">
        <f>IFERROR(__xludf.DUMMYFUNCTION("""COMPUTED_VALUE"""),"Basic")</f>
        <v>Basic</v>
      </c>
      <c r="L71" s="6">
        <f>IFERROR(__xludf.DUMMYFUNCTION("""COMPUTED_VALUE"""),1.0)</f>
        <v>1</v>
      </c>
      <c r="M71" s="6" t="str">
        <f>IFERROR(__xludf.DUMMYFUNCTION("""COMPUTED_VALUE"""),"2023-04")</f>
        <v>2023-04</v>
      </c>
    </row>
    <row r="72">
      <c r="A72" s="6" t="str">
        <f>IFERROR(__xludf.DUMMYFUNCTION("""COMPUTED_VALUE"""),"70fdd411-9ac6-42ea-ace1-f5ef637ab4d9")</f>
        <v>70fdd411-9ac6-42ea-ace1-f5ef637ab4d9</v>
      </c>
      <c r="B72" s="6" t="str">
        <f>IFERROR(__xludf.DUMMYFUNCTION("""COMPUTED_VALUE"""),"1934952f-6761-4457-9dfe-778a2c17d3e2")</f>
        <v>1934952f-6761-4457-9dfe-778a2c17d3e2</v>
      </c>
      <c r="C72" s="7">
        <f>IFERROR(__xludf.DUMMYFUNCTION("""COMPUTED_VALUE"""),44937.0)</f>
        <v>44937</v>
      </c>
      <c r="D72" s="8">
        <f>IFERROR(__xludf.DUMMYFUNCTION("""COMPUTED_VALUE"""),6.7424771E7)</f>
        <v>67424771</v>
      </c>
      <c r="E72" s="6" t="str">
        <f>IFERROR(__xludf.DUMMYFUNCTION("""COMPUTED_VALUE"""),"DOCUMENTARY")</f>
        <v>DOCUMENTARY</v>
      </c>
      <c r="F72" s="6" t="str">
        <f>IFERROR(__xludf.DUMMYFUNCTION("""COMPUTED_VALUE"""),"Thriller")</f>
        <v>Thriller</v>
      </c>
      <c r="G72" s="6">
        <f>IFERROR(__xludf.DUMMYFUNCTION("""COMPUTED_VALUE"""),133.0)</f>
        <v>133</v>
      </c>
      <c r="H72" s="6">
        <f>IFERROR(__xludf.DUMMYFUNCTION("""COMPUTED_VALUE"""),1.0)</f>
        <v>1</v>
      </c>
      <c r="I72" s="6" t="str">
        <f>IFERROR(__xludf.DUMMYFUNCTION("""COMPUTED_VALUE"""),"Tablet")</f>
        <v>Tablet</v>
      </c>
      <c r="J72" s="6" t="str">
        <f>IFERROR(__xludf.DUMMYFUNCTION("""COMPUTED_VALUE"""),"Usa")</f>
        <v>Usa</v>
      </c>
      <c r="K72" s="6" t="str">
        <f>IFERROR(__xludf.DUMMYFUNCTION("""COMPUTED_VALUE"""),"Standard")</f>
        <v>Standard</v>
      </c>
      <c r="L72" s="6">
        <f>IFERROR(__xludf.DUMMYFUNCTION("""COMPUTED_VALUE"""),0.0)</f>
        <v>0</v>
      </c>
      <c r="M72" s="6" t="str">
        <f>IFERROR(__xludf.DUMMYFUNCTION("""COMPUTED_VALUE"""),"2023-01")</f>
        <v>2023-01</v>
      </c>
    </row>
    <row r="73">
      <c r="A73" s="6" t="str">
        <f>IFERROR(__xludf.DUMMYFUNCTION("""COMPUTED_VALUE"""),"8b1a8951-a3cf-4a95-937c-db0340bd6acc")</f>
        <v>8b1a8951-a3cf-4a95-937c-db0340bd6acc</v>
      </c>
      <c r="B73" s="6" t="str">
        <f>IFERROR(__xludf.DUMMYFUNCTION("""COMPUTED_VALUE"""),"1a86e241-1827-458d-84ed-a72bb9a92872")</f>
        <v>1a86e241-1827-458d-84ed-a72bb9a92872</v>
      </c>
      <c r="C73" s="7">
        <f>IFERROR(__xludf.DUMMYFUNCTION("""COMPUTED_VALUE"""),45164.0)</f>
        <v>45164</v>
      </c>
      <c r="D73" s="8">
        <f>IFERROR(__xludf.DUMMYFUNCTION("""COMPUTED_VALUE"""),2.8244219E7)</f>
        <v>28244219</v>
      </c>
      <c r="E73" s="6" t="str">
        <f>IFERROR(__xludf.DUMMYFUNCTION("""COMPUTED_VALUE"""),"SERIES")</f>
        <v>SERIES</v>
      </c>
      <c r="F73" s="6" t="str">
        <f>IFERROR(__xludf.DUMMYFUNCTION("""COMPUTED_VALUE"""),"Action")</f>
        <v>Action</v>
      </c>
      <c r="G73" s="6">
        <f>IFERROR(__xludf.DUMMYFUNCTION("""COMPUTED_VALUE"""),96.0)</f>
        <v>96</v>
      </c>
      <c r="H73" s="6">
        <f>IFERROR(__xludf.DUMMYFUNCTION("""COMPUTED_VALUE"""),1.0)</f>
        <v>1</v>
      </c>
      <c r="I73" s="6" t="str">
        <f>IFERROR(__xludf.DUMMYFUNCTION("""COMPUTED_VALUE"""),"Desktop")</f>
        <v>Desktop</v>
      </c>
      <c r="J73" s="6" t="str">
        <f>IFERROR(__xludf.DUMMYFUNCTION("""COMPUTED_VALUE"""),"Germany")</f>
        <v>Germany</v>
      </c>
      <c r="K73" s="6" t="str">
        <f>IFERROR(__xludf.DUMMYFUNCTION("""COMPUTED_VALUE"""),"Standard")</f>
        <v>Standard</v>
      </c>
      <c r="L73" s="6">
        <f>IFERROR(__xludf.DUMMYFUNCTION("""COMPUTED_VALUE"""),0.0)</f>
        <v>0</v>
      </c>
      <c r="M73" s="6" t="str">
        <f>IFERROR(__xludf.DUMMYFUNCTION("""COMPUTED_VALUE"""),"2023-08")</f>
        <v>2023-08</v>
      </c>
    </row>
    <row r="74">
      <c r="A74" s="6" t="str">
        <f>IFERROR(__xludf.DUMMYFUNCTION("""COMPUTED_VALUE"""),"c222a34e-63c5-42e9-9256-4ae3d11dfdcc")</f>
        <v>c222a34e-63c5-42e9-9256-4ae3d11dfdcc</v>
      </c>
      <c r="B74" s="6" t="str">
        <f>IFERROR(__xludf.DUMMYFUNCTION("""COMPUTED_VALUE"""),"1c0a623a-d32c-41fe-b487-87912114bebc")</f>
        <v>1c0a623a-d32c-41fe-b487-87912114bebc</v>
      </c>
      <c r="C74" s="7">
        <f>IFERROR(__xludf.DUMMYFUNCTION("""COMPUTED_VALUE"""),45112.0)</f>
        <v>45112</v>
      </c>
      <c r="D74" s="8">
        <f>IFERROR(__xludf.DUMMYFUNCTION("""COMPUTED_VALUE"""),9035539.0)</f>
        <v>9035539</v>
      </c>
      <c r="E74" s="6" t="str">
        <f>IFERROR(__xludf.DUMMYFUNCTION("""COMPUTED_VALUE"""),"MOVIE")</f>
        <v>MOVIE</v>
      </c>
      <c r="F74" s="6" t="str">
        <f>IFERROR(__xludf.DUMMYFUNCTION("""COMPUTED_VALUE"""),"Comedy")</f>
        <v>Comedy</v>
      </c>
      <c r="G74" s="6">
        <f>IFERROR(__xludf.DUMMYFUNCTION("""COMPUTED_VALUE"""),22.0)</f>
        <v>22</v>
      </c>
      <c r="H74" s="6">
        <f>IFERROR(__xludf.DUMMYFUNCTION("""COMPUTED_VALUE"""),0.0)</f>
        <v>0</v>
      </c>
      <c r="I74" s="6" t="str">
        <f>IFERROR(__xludf.DUMMYFUNCTION("""COMPUTED_VALUE"""),"Mobile")</f>
        <v>Mobile</v>
      </c>
      <c r="J74" s="6" t="str">
        <f>IFERROR(__xludf.DUMMYFUNCTION("""COMPUTED_VALUE"""),"Usa")</f>
        <v>Usa</v>
      </c>
      <c r="K74" s="6" t="str">
        <f>IFERROR(__xludf.DUMMYFUNCTION("""COMPUTED_VALUE"""),"Standard")</f>
        <v>Standard</v>
      </c>
      <c r="L74" s="6">
        <f>IFERROR(__xludf.DUMMYFUNCTION("""COMPUTED_VALUE"""),0.0)</f>
        <v>0</v>
      </c>
      <c r="M74" s="6" t="str">
        <f>IFERROR(__xludf.DUMMYFUNCTION("""COMPUTED_VALUE"""),"2023-07")</f>
        <v>2023-07</v>
      </c>
    </row>
    <row r="75">
      <c r="A75" s="6" t="str">
        <f>IFERROR(__xludf.DUMMYFUNCTION("""COMPUTED_VALUE"""),"037ab33e-0d9b-4e11-88c5-559170d76013")</f>
        <v>037ab33e-0d9b-4e11-88c5-559170d76013</v>
      </c>
      <c r="B75" s="6" t="str">
        <f>IFERROR(__xludf.DUMMYFUNCTION("""COMPUTED_VALUE"""),"1c2c611c-a379-4ed2-b6a2-4b1756db239d")</f>
        <v>1c2c611c-a379-4ed2-b6a2-4b1756db239d</v>
      </c>
      <c r="C75" s="7">
        <f>IFERROR(__xludf.DUMMYFUNCTION("""COMPUTED_VALUE"""),45152.0)</f>
        <v>45152</v>
      </c>
      <c r="D75" s="8">
        <f>IFERROR(__xludf.DUMMYFUNCTION("""COMPUTED_VALUE"""),9.0882685E7)</f>
        <v>90882685</v>
      </c>
      <c r="E75" s="6" t="str">
        <f>IFERROR(__xludf.DUMMYFUNCTION("""COMPUTED_VALUE"""),"MOVIE")</f>
        <v>MOVIE</v>
      </c>
      <c r="F75" s="6" t="str">
        <f>IFERROR(__xludf.DUMMYFUNCTION("""COMPUTED_VALUE"""),"Thriller")</f>
        <v>Thriller</v>
      </c>
      <c r="G75" s="6">
        <f>IFERROR(__xludf.DUMMYFUNCTION("""COMPUTED_VALUE"""),164.0)</f>
        <v>164</v>
      </c>
      <c r="H75" s="6">
        <f>IFERROR(__xludf.DUMMYFUNCTION("""COMPUTED_VALUE"""),1.0)</f>
        <v>1</v>
      </c>
      <c r="I75" s="6" t="str">
        <f>IFERROR(__xludf.DUMMYFUNCTION("""COMPUTED_VALUE"""),"Mobile")</f>
        <v>Mobile</v>
      </c>
      <c r="J75" s="6" t="str">
        <f>IFERROR(__xludf.DUMMYFUNCTION("""COMPUTED_VALUE"""),"India")</f>
        <v>India</v>
      </c>
      <c r="K75" s="6" t="str">
        <f>IFERROR(__xludf.DUMMYFUNCTION("""COMPUTED_VALUE"""),"Premium")</f>
        <v>Premium</v>
      </c>
      <c r="L75" s="6">
        <f>IFERROR(__xludf.DUMMYFUNCTION("""COMPUTED_VALUE"""),1.0)</f>
        <v>1</v>
      </c>
      <c r="M75" s="6" t="str">
        <f>IFERROR(__xludf.DUMMYFUNCTION("""COMPUTED_VALUE"""),"2023-08")</f>
        <v>2023-08</v>
      </c>
    </row>
    <row r="76">
      <c r="A76" s="6" t="str">
        <f>IFERROR(__xludf.DUMMYFUNCTION("""COMPUTED_VALUE"""),"4a8b2fae-6209-41c3-afb6-88bbe3a56430")</f>
        <v>4a8b2fae-6209-41c3-afb6-88bbe3a56430</v>
      </c>
      <c r="B76" s="6" t="str">
        <f>IFERROR(__xludf.DUMMYFUNCTION("""COMPUTED_VALUE"""),"1c91f5bc-feb7-44f3-b58a-769dd9becc84")</f>
        <v>1c91f5bc-feb7-44f3-b58a-769dd9becc84</v>
      </c>
      <c r="C76" s="7">
        <f>IFERROR(__xludf.DUMMYFUNCTION("""COMPUTED_VALUE"""),45187.0)</f>
        <v>45187</v>
      </c>
      <c r="D76" s="8">
        <f>IFERROR(__xludf.DUMMYFUNCTION("""COMPUTED_VALUE"""),5.9648E7)</f>
        <v>59648000</v>
      </c>
      <c r="E76" s="6" t="str">
        <f>IFERROR(__xludf.DUMMYFUNCTION("""COMPUTED_VALUE"""),"SERIES")</f>
        <v>SERIES</v>
      </c>
      <c r="F76" s="6" t="str">
        <f>IFERROR(__xludf.DUMMYFUNCTION("""COMPUTED_VALUE"""),"Comedy")</f>
        <v>Comedy</v>
      </c>
      <c r="G76" s="6">
        <f>IFERROR(__xludf.DUMMYFUNCTION("""COMPUTED_VALUE"""),72.0)</f>
        <v>72</v>
      </c>
      <c r="H76" s="6">
        <f>IFERROR(__xludf.DUMMYFUNCTION("""COMPUTED_VALUE"""),0.0)</f>
        <v>0</v>
      </c>
      <c r="I76" s="6" t="str">
        <f>IFERROR(__xludf.DUMMYFUNCTION("""COMPUTED_VALUE"""),"Desktop")</f>
        <v>Desktop</v>
      </c>
      <c r="J76" s="6" t="str">
        <f>IFERROR(__xludf.DUMMYFUNCTION("""COMPUTED_VALUE"""),"France")</f>
        <v>France</v>
      </c>
      <c r="K76" s="6" t="str">
        <f>IFERROR(__xludf.DUMMYFUNCTION("""COMPUTED_VALUE"""),"Basic")</f>
        <v>Basic</v>
      </c>
      <c r="L76" s="6">
        <f>IFERROR(__xludf.DUMMYFUNCTION("""COMPUTED_VALUE"""),0.0)</f>
        <v>0</v>
      </c>
      <c r="M76" s="6" t="str">
        <f>IFERROR(__xludf.DUMMYFUNCTION("""COMPUTED_VALUE"""),"2023-09")</f>
        <v>2023-09</v>
      </c>
    </row>
    <row r="77">
      <c r="A77" s="6" t="str">
        <f>IFERROR(__xludf.DUMMYFUNCTION("""COMPUTED_VALUE"""),"e9652686-ff68-4181-8196-dc5d9e88271f")</f>
        <v>e9652686-ff68-4181-8196-dc5d9e88271f</v>
      </c>
      <c r="B77" s="6" t="str">
        <f>IFERROR(__xludf.DUMMYFUNCTION("""COMPUTED_VALUE"""),"1ca593d9-532f-4364-a88d-32ac0a844b4e")</f>
        <v>1ca593d9-532f-4364-a88d-32ac0a844b4e</v>
      </c>
      <c r="C77" s="7">
        <f>IFERROR(__xludf.DUMMYFUNCTION("""COMPUTED_VALUE"""),45009.0)</f>
        <v>45009</v>
      </c>
      <c r="D77" s="8">
        <f>IFERROR(__xludf.DUMMYFUNCTION("""COMPUTED_VALUE"""),1.6502963E7)</f>
        <v>16502963</v>
      </c>
      <c r="E77" s="6" t="str">
        <f>IFERROR(__xludf.DUMMYFUNCTION("""COMPUTED_VALUE"""),"MOVIE")</f>
        <v>MOVIE</v>
      </c>
      <c r="F77" s="6" t="str">
        <f>IFERROR(__xludf.DUMMYFUNCTION("""COMPUTED_VALUE"""),"Sci-Fi")</f>
        <v>Sci-Fi</v>
      </c>
      <c r="G77" s="6">
        <f>IFERROR(__xludf.DUMMYFUNCTION("""COMPUTED_VALUE"""),174.0)</f>
        <v>174</v>
      </c>
      <c r="H77" s="6">
        <f>IFERROR(__xludf.DUMMYFUNCTION("""COMPUTED_VALUE"""),1.0)</f>
        <v>1</v>
      </c>
      <c r="I77" s="6" t="str">
        <f>IFERROR(__xludf.DUMMYFUNCTION("""COMPUTED_VALUE"""),"Desktop")</f>
        <v>Desktop</v>
      </c>
      <c r="J77" s="6" t="str">
        <f>IFERROR(__xludf.DUMMYFUNCTION("""COMPUTED_VALUE"""),"Uk")</f>
        <v>Uk</v>
      </c>
      <c r="K77" s="6" t="str">
        <f>IFERROR(__xludf.DUMMYFUNCTION("""COMPUTED_VALUE"""),"Basic")</f>
        <v>Basic</v>
      </c>
      <c r="L77" s="6">
        <f>IFERROR(__xludf.DUMMYFUNCTION("""COMPUTED_VALUE"""),0.0)</f>
        <v>0</v>
      </c>
      <c r="M77" s="6" t="str">
        <f>IFERROR(__xludf.DUMMYFUNCTION("""COMPUTED_VALUE"""),"2023-03")</f>
        <v>2023-03</v>
      </c>
    </row>
    <row r="78">
      <c r="A78" s="6" t="str">
        <f>IFERROR(__xludf.DUMMYFUNCTION("""COMPUTED_VALUE"""),"d7c6dbbc-7722-4ef6-9bfd-dc59eadd6fc5")</f>
        <v>d7c6dbbc-7722-4ef6-9bfd-dc59eadd6fc5</v>
      </c>
      <c r="B78" s="6" t="str">
        <f>IFERROR(__xludf.DUMMYFUNCTION("""COMPUTED_VALUE"""),"1ca89399-0325-4a72-aa45-b7f7af430b94")</f>
        <v>1ca89399-0325-4a72-aa45-b7f7af430b94</v>
      </c>
      <c r="C78" s="7">
        <f>IFERROR(__xludf.DUMMYFUNCTION("""COMPUTED_VALUE"""),45113.0)</f>
        <v>45113</v>
      </c>
      <c r="D78" s="8">
        <f>IFERROR(__xludf.DUMMYFUNCTION("""COMPUTED_VALUE"""),7.8158306E7)</f>
        <v>78158306</v>
      </c>
      <c r="E78" s="6" t="str">
        <f>IFERROR(__xludf.DUMMYFUNCTION("""COMPUTED_VALUE"""),"DOCUMENTARY")</f>
        <v>DOCUMENTARY</v>
      </c>
      <c r="F78" s="6" t="str">
        <f>IFERROR(__xludf.DUMMYFUNCTION("""COMPUTED_VALUE"""),"Action")</f>
        <v>Action</v>
      </c>
      <c r="G78" s="6">
        <f>IFERROR(__xludf.DUMMYFUNCTION("""COMPUTED_VALUE"""),174.0)</f>
        <v>174</v>
      </c>
      <c r="H78" s="6">
        <f>IFERROR(__xludf.DUMMYFUNCTION("""COMPUTED_VALUE"""),1.0)</f>
        <v>1</v>
      </c>
      <c r="I78" s="6" t="str">
        <f>IFERROR(__xludf.DUMMYFUNCTION("""COMPUTED_VALUE"""),"Desktop")</f>
        <v>Desktop</v>
      </c>
      <c r="J78" s="6" t="str">
        <f>IFERROR(__xludf.DUMMYFUNCTION("""COMPUTED_VALUE"""),"Uk")</f>
        <v>Uk</v>
      </c>
      <c r="K78" s="6" t="str">
        <f>IFERROR(__xludf.DUMMYFUNCTION("""COMPUTED_VALUE"""),"Premium")</f>
        <v>Premium</v>
      </c>
      <c r="L78" s="6">
        <f>IFERROR(__xludf.DUMMYFUNCTION("""COMPUTED_VALUE"""),0.0)</f>
        <v>0</v>
      </c>
      <c r="M78" s="6" t="str">
        <f>IFERROR(__xludf.DUMMYFUNCTION("""COMPUTED_VALUE"""),"2023-07")</f>
        <v>2023-07</v>
      </c>
    </row>
    <row r="79">
      <c r="A79" s="6" t="str">
        <f>IFERROR(__xludf.DUMMYFUNCTION("""COMPUTED_VALUE"""),"ab804901-e24d-4a03-af7c-9e476fa3db08")</f>
        <v>ab804901-e24d-4a03-af7c-9e476fa3db08</v>
      </c>
      <c r="B79" s="6" t="str">
        <f>IFERROR(__xludf.DUMMYFUNCTION("""COMPUTED_VALUE"""),"1cd33a70-b12d-452d-b58d-386a849cc130")</f>
        <v>1cd33a70-b12d-452d-b58d-386a849cc130</v>
      </c>
      <c r="C79" s="7">
        <f>IFERROR(__xludf.DUMMYFUNCTION("""COMPUTED_VALUE"""),45122.0)</f>
        <v>45122</v>
      </c>
      <c r="D79" s="8">
        <f>IFERROR(__xludf.DUMMYFUNCTION("""COMPUTED_VALUE"""),2.7304228E7)</f>
        <v>27304228</v>
      </c>
      <c r="E79" s="6" t="str">
        <f>IFERROR(__xludf.DUMMYFUNCTION("""COMPUTED_VALUE"""),"SERIES")</f>
        <v>SERIES</v>
      </c>
      <c r="F79" s="6" t="str">
        <f>IFERROR(__xludf.DUMMYFUNCTION("""COMPUTED_VALUE"""),"Drama")</f>
        <v>Drama</v>
      </c>
      <c r="G79" s="6">
        <f>IFERROR(__xludf.DUMMYFUNCTION("""COMPUTED_VALUE"""),136.0)</f>
        <v>136</v>
      </c>
      <c r="H79" s="6">
        <f>IFERROR(__xludf.DUMMYFUNCTION("""COMPUTED_VALUE"""),1.0)</f>
        <v>1</v>
      </c>
      <c r="I79" s="6" t="str">
        <f>IFERROR(__xludf.DUMMYFUNCTION("""COMPUTED_VALUE"""),"Tablet")</f>
        <v>Tablet</v>
      </c>
      <c r="J79" s="6" t="str">
        <f>IFERROR(__xludf.DUMMYFUNCTION("""COMPUTED_VALUE"""),"Usa")</f>
        <v>Usa</v>
      </c>
      <c r="K79" s="6" t="str">
        <f>IFERROR(__xludf.DUMMYFUNCTION("""COMPUTED_VALUE"""),"Basic")</f>
        <v>Basic</v>
      </c>
      <c r="L79" s="6">
        <f>IFERROR(__xludf.DUMMYFUNCTION("""COMPUTED_VALUE"""),0.0)</f>
        <v>0</v>
      </c>
      <c r="M79" s="6" t="str">
        <f>IFERROR(__xludf.DUMMYFUNCTION("""COMPUTED_VALUE"""),"2023-07")</f>
        <v>2023-07</v>
      </c>
    </row>
    <row r="80">
      <c r="A80" s="6" t="str">
        <f>IFERROR(__xludf.DUMMYFUNCTION("""COMPUTED_VALUE"""),"b673d4be-bfcc-4553-948a-23d2ad095b96")</f>
        <v>b673d4be-bfcc-4553-948a-23d2ad095b96</v>
      </c>
      <c r="B80" s="6" t="str">
        <f>IFERROR(__xludf.DUMMYFUNCTION("""COMPUTED_VALUE"""),"1cd817cc-bb56-4f29-b43f-b2f46f8cb016")</f>
        <v>1cd817cc-bb56-4f29-b43f-b2f46f8cb016</v>
      </c>
      <c r="C80" s="7">
        <f>IFERROR(__xludf.DUMMYFUNCTION("""COMPUTED_VALUE"""),45030.0)</f>
        <v>45030</v>
      </c>
      <c r="D80" s="8">
        <f>IFERROR(__xludf.DUMMYFUNCTION("""COMPUTED_VALUE"""),3.8310041E7)</f>
        <v>38310041</v>
      </c>
      <c r="E80" s="6" t="str">
        <f>IFERROR(__xludf.DUMMYFUNCTION("""COMPUTED_VALUE"""),"MOVIE")</f>
        <v>MOVIE</v>
      </c>
      <c r="F80" s="6" t="str">
        <f>IFERROR(__xludf.DUMMYFUNCTION("""COMPUTED_VALUE"""),"Thriller")</f>
        <v>Thriller</v>
      </c>
      <c r="G80" s="6">
        <f>IFERROR(__xludf.DUMMYFUNCTION("""COMPUTED_VALUE"""),17.0)</f>
        <v>17</v>
      </c>
      <c r="H80" s="6">
        <f>IFERROR(__xludf.DUMMYFUNCTION("""COMPUTED_VALUE"""),1.0)</f>
        <v>1</v>
      </c>
      <c r="I80" s="6" t="str">
        <f>IFERROR(__xludf.DUMMYFUNCTION("""COMPUTED_VALUE"""),"Mobile")</f>
        <v>Mobile</v>
      </c>
      <c r="J80" s="6" t="str">
        <f>IFERROR(__xludf.DUMMYFUNCTION("""COMPUTED_VALUE"""),"France")</f>
        <v>France</v>
      </c>
      <c r="K80" s="6" t="str">
        <f>IFERROR(__xludf.DUMMYFUNCTION("""COMPUTED_VALUE"""),"Basic")</f>
        <v>Basic</v>
      </c>
      <c r="L80" s="6">
        <f>IFERROR(__xludf.DUMMYFUNCTION("""COMPUTED_VALUE"""),0.0)</f>
        <v>0</v>
      </c>
      <c r="M80" s="6" t="str">
        <f>IFERROR(__xludf.DUMMYFUNCTION("""COMPUTED_VALUE"""),"2023-04")</f>
        <v>2023-04</v>
      </c>
    </row>
    <row r="81">
      <c r="A81" s="6" t="str">
        <f>IFERROR(__xludf.DUMMYFUNCTION("""COMPUTED_VALUE"""),"614ec0bc-c5f8-4087-9e4e-7c47ff690a7e")</f>
        <v>614ec0bc-c5f8-4087-9e4e-7c47ff690a7e</v>
      </c>
      <c r="B81" s="6" t="str">
        <f>IFERROR(__xludf.DUMMYFUNCTION("""COMPUTED_VALUE"""),"1e3faf75-bcbc-4ce7-99da-774838519391")</f>
        <v>1e3faf75-bcbc-4ce7-99da-774838519391</v>
      </c>
      <c r="C81" s="7">
        <f>IFERROR(__xludf.DUMMYFUNCTION("""COMPUTED_VALUE"""),45226.0)</f>
        <v>45226</v>
      </c>
      <c r="D81" s="8">
        <f>IFERROR(__xludf.DUMMYFUNCTION("""COMPUTED_VALUE"""),9.5747163E7)</f>
        <v>95747163</v>
      </c>
      <c r="E81" s="6" t="str">
        <f>IFERROR(__xludf.DUMMYFUNCTION("""COMPUTED_VALUE"""),"DOCUMENTARY")</f>
        <v>DOCUMENTARY</v>
      </c>
      <c r="F81" s="6" t="str">
        <f>IFERROR(__xludf.DUMMYFUNCTION("""COMPUTED_VALUE"""),"Thriller")</f>
        <v>Thriller</v>
      </c>
      <c r="G81" s="6">
        <f>IFERROR(__xludf.DUMMYFUNCTION("""COMPUTED_VALUE"""),82.0)</f>
        <v>82</v>
      </c>
      <c r="H81" s="6">
        <f>IFERROR(__xludf.DUMMYFUNCTION("""COMPUTED_VALUE"""),1.0)</f>
        <v>1</v>
      </c>
      <c r="I81" s="6" t="str">
        <f>IFERROR(__xludf.DUMMYFUNCTION("""COMPUTED_VALUE"""),"Mobile")</f>
        <v>Mobile</v>
      </c>
      <c r="J81" s="6" t="str">
        <f>IFERROR(__xludf.DUMMYFUNCTION("""COMPUTED_VALUE"""),"India")</f>
        <v>India</v>
      </c>
      <c r="K81" s="6" t="str">
        <f>IFERROR(__xludf.DUMMYFUNCTION("""COMPUTED_VALUE"""),"Standard")</f>
        <v>Standard</v>
      </c>
      <c r="L81" s="6">
        <f>IFERROR(__xludf.DUMMYFUNCTION("""COMPUTED_VALUE"""),0.0)</f>
        <v>0</v>
      </c>
      <c r="M81" s="6" t="str">
        <f>IFERROR(__xludf.DUMMYFUNCTION("""COMPUTED_VALUE"""),"2023-10")</f>
        <v>2023-10</v>
      </c>
    </row>
    <row r="82">
      <c r="A82" s="6" t="str">
        <f>IFERROR(__xludf.DUMMYFUNCTION("""COMPUTED_VALUE"""),"2e22365c-bbac-4def-af16-d9ad830710c7")</f>
        <v>2e22365c-bbac-4def-af16-d9ad830710c7</v>
      </c>
      <c r="B82" s="6" t="str">
        <f>IFERROR(__xludf.DUMMYFUNCTION("""COMPUTED_VALUE"""),"1e60f142-fe9a-4c26-bdbe-e8f54aeeb090")</f>
        <v>1e60f142-fe9a-4c26-bdbe-e8f54aeeb090</v>
      </c>
      <c r="C82" s="7">
        <f>IFERROR(__xludf.DUMMYFUNCTION("""COMPUTED_VALUE"""),45100.0)</f>
        <v>45100</v>
      </c>
      <c r="D82" s="8">
        <f>IFERROR(__xludf.DUMMYFUNCTION("""COMPUTED_VALUE"""),6.6234111E7)</f>
        <v>66234111</v>
      </c>
      <c r="E82" s="6" t="str">
        <f>IFERROR(__xludf.DUMMYFUNCTION("""COMPUTED_VALUE"""),"DOCUMENTARY")</f>
        <v>DOCUMENTARY</v>
      </c>
      <c r="F82" s="6" t="str">
        <f>IFERROR(__xludf.DUMMYFUNCTION("""COMPUTED_VALUE"""),"Comedy")</f>
        <v>Comedy</v>
      </c>
      <c r="G82" s="6">
        <f>IFERROR(__xludf.DUMMYFUNCTION("""COMPUTED_VALUE"""),14.0)</f>
        <v>14</v>
      </c>
      <c r="H82" s="6">
        <f>IFERROR(__xludf.DUMMYFUNCTION("""COMPUTED_VALUE"""),1.0)</f>
        <v>1</v>
      </c>
      <c r="I82" s="6" t="str">
        <f>IFERROR(__xludf.DUMMYFUNCTION("""COMPUTED_VALUE"""),"Mobile")</f>
        <v>Mobile</v>
      </c>
      <c r="J82" s="6" t="str">
        <f>IFERROR(__xludf.DUMMYFUNCTION("""COMPUTED_VALUE"""),"India")</f>
        <v>India</v>
      </c>
      <c r="K82" s="6" t="str">
        <f>IFERROR(__xludf.DUMMYFUNCTION("""COMPUTED_VALUE"""),"Standard")</f>
        <v>Standard</v>
      </c>
      <c r="L82" s="6">
        <f>IFERROR(__xludf.DUMMYFUNCTION("""COMPUTED_VALUE"""),0.0)</f>
        <v>0</v>
      </c>
      <c r="M82" s="6" t="str">
        <f>IFERROR(__xludf.DUMMYFUNCTION("""COMPUTED_VALUE"""),"2023-06")</f>
        <v>2023-06</v>
      </c>
    </row>
    <row r="83">
      <c r="A83" s="6" t="str">
        <f>IFERROR(__xludf.DUMMYFUNCTION("""COMPUTED_VALUE"""),"69ae74d3-1e55-4507-ac0b-ab2a4929768b")</f>
        <v>69ae74d3-1e55-4507-ac0b-ab2a4929768b</v>
      </c>
      <c r="B83" s="6" t="str">
        <f>IFERROR(__xludf.DUMMYFUNCTION("""COMPUTED_VALUE"""),"1e67caa0-394b-47d7-b935-28dc88c6c9fa")</f>
        <v>1e67caa0-394b-47d7-b935-28dc88c6c9fa</v>
      </c>
      <c r="C83" s="7">
        <f>IFERROR(__xludf.DUMMYFUNCTION("""COMPUTED_VALUE"""),45212.0)</f>
        <v>45212</v>
      </c>
      <c r="D83" s="8">
        <f>IFERROR(__xludf.DUMMYFUNCTION("""COMPUTED_VALUE"""),2550183.0)</f>
        <v>2550183</v>
      </c>
      <c r="E83" s="6" t="str">
        <f>IFERROR(__xludf.DUMMYFUNCTION("""COMPUTED_VALUE"""),"MOVIE")</f>
        <v>MOVIE</v>
      </c>
      <c r="F83" s="6" t="str">
        <f>IFERROR(__xludf.DUMMYFUNCTION("""COMPUTED_VALUE"""),"Action")</f>
        <v>Action</v>
      </c>
      <c r="G83" s="6">
        <f>IFERROR(__xludf.DUMMYFUNCTION("""COMPUTED_VALUE"""),21.0)</f>
        <v>21</v>
      </c>
      <c r="H83" s="6">
        <f>IFERROR(__xludf.DUMMYFUNCTION("""COMPUTED_VALUE"""),0.0)</f>
        <v>0</v>
      </c>
      <c r="I83" s="6" t="str">
        <f>IFERROR(__xludf.DUMMYFUNCTION("""COMPUTED_VALUE"""),"Tablet")</f>
        <v>Tablet</v>
      </c>
      <c r="J83" s="6" t="str">
        <f>IFERROR(__xludf.DUMMYFUNCTION("""COMPUTED_VALUE"""),"France")</f>
        <v>France</v>
      </c>
      <c r="K83" s="6" t="str">
        <f>IFERROR(__xludf.DUMMYFUNCTION("""COMPUTED_VALUE"""),"Premium")</f>
        <v>Premium</v>
      </c>
      <c r="L83" s="6">
        <f>IFERROR(__xludf.DUMMYFUNCTION("""COMPUTED_VALUE"""),0.0)</f>
        <v>0</v>
      </c>
      <c r="M83" s="6" t="str">
        <f>IFERROR(__xludf.DUMMYFUNCTION("""COMPUTED_VALUE"""),"2023-10")</f>
        <v>2023-10</v>
      </c>
    </row>
    <row r="84">
      <c r="A84" s="6" t="str">
        <f>IFERROR(__xludf.DUMMYFUNCTION("""COMPUTED_VALUE"""),"cae7e8a3-f8ac-453c-86bc-05ea17c7e2b4")</f>
        <v>cae7e8a3-f8ac-453c-86bc-05ea17c7e2b4</v>
      </c>
      <c r="B84" s="6" t="str">
        <f>IFERROR(__xludf.DUMMYFUNCTION("""COMPUTED_VALUE"""),"1f55e704-f7a1-46f7-bf57-88e3cd47874a")</f>
        <v>1f55e704-f7a1-46f7-bf57-88e3cd47874a</v>
      </c>
      <c r="C84" s="7">
        <f>IFERROR(__xludf.DUMMYFUNCTION("""COMPUTED_VALUE"""),45255.0)</f>
        <v>45255</v>
      </c>
      <c r="D84" s="8">
        <f>IFERROR(__xludf.DUMMYFUNCTION("""COMPUTED_VALUE"""),6.8729004E7)</f>
        <v>68729004</v>
      </c>
      <c r="E84" s="6" t="str">
        <f>IFERROR(__xludf.DUMMYFUNCTION("""COMPUTED_VALUE"""),"MOVIE")</f>
        <v>MOVIE</v>
      </c>
      <c r="F84" s="6" t="str">
        <f>IFERROR(__xludf.DUMMYFUNCTION("""COMPUTED_VALUE"""),"Thriller")</f>
        <v>Thriller</v>
      </c>
      <c r="G84" s="6">
        <f>IFERROR(__xludf.DUMMYFUNCTION("""COMPUTED_VALUE"""),67.0)</f>
        <v>67</v>
      </c>
      <c r="H84" s="6">
        <f>IFERROR(__xludf.DUMMYFUNCTION("""COMPUTED_VALUE"""),1.0)</f>
        <v>1</v>
      </c>
      <c r="I84" s="6" t="str">
        <f>IFERROR(__xludf.DUMMYFUNCTION("""COMPUTED_VALUE"""),"Tablet")</f>
        <v>Tablet</v>
      </c>
      <c r="J84" s="6" t="str">
        <f>IFERROR(__xludf.DUMMYFUNCTION("""COMPUTED_VALUE"""),"Usa")</f>
        <v>Usa</v>
      </c>
      <c r="K84" s="6" t="str">
        <f>IFERROR(__xludf.DUMMYFUNCTION("""COMPUTED_VALUE"""),"Standard")</f>
        <v>Standard</v>
      </c>
      <c r="L84" s="6">
        <f>IFERROR(__xludf.DUMMYFUNCTION("""COMPUTED_VALUE"""),0.0)</f>
        <v>0</v>
      </c>
      <c r="M84" s="6" t="str">
        <f>IFERROR(__xludf.DUMMYFUNCTION("""COMPUTED_VALUE"""),"2023-11")</f>
        <v>2023-11</v>
      </c>
    </row>
    <row r="85">
      <c r="A85" s="6" t="str">
        <f>IFERROR(__xludf.DUMMYFUNCTION("""COMPUTED_VALUE"""),"ae0b3964-addb-4017-9049-fc683f2ddbb3")</f>
        <v>ae0b3964-addb-4017-9049-fc683f2ddbb3</v>
      </c>
      <c r="B85" s="6" t="str">
        <f>IFERROR(__xludf.DUMMYFUNCTION("""COMPUTED_VALUE"""),"1f7acf8e-8aa6-4e01-8f31-066b81f78159")</f>
        <v>1f7acf8e-8aa6-4e01-8f31-066b81f78159</v>
      </c>
      <c r="C85" s="7">
        <f>IFERROR(__xludf.DUMMYFUNCTION("""COMPUTED_VALUE"""),45076.0)</f>
        <v>45076</v>
      </c>
      <c r="D85" s="8">
        <f>IFERROR(__xludf.DUMMYFUNCTION("""COMPUTED_VALUE"""),9.207079E7)</f>
        <v>92070790</v>
      </c>
      <c r="E85" s="6" t="str">
        <f>IFERROR(__xludf.DUMMYFUNCTION("""COMPUTED_VALUE"""),"SERIES")</f>
        <v>SERIES</v>
      </c>
      <c r="F85" s="6" t="str">
        <f>IFERROR(__xludf.DUMMYFUNCTION("""COMPUTED_VALUE"""),"Sci-Fi")</f>
        <v>Sci-Fi</v>
      </c>
      <c r="G85" s="6">
        <f>IFERROR(__xludf.DUMMYFUNCTION("""COMPUTED_VALUE"""),51.0)</f>
        <v>51</v>
      </c>
      <c r="H85" s="6">
        <f>IFERROR(__xludf.DUMMYFUNCTION("""COMPUTED_VALUE"""),1.0)</f>
        <v>1</v>
      </c>
      <c r="I85" s="6" t="str">
        <f>IFERROR(__xludf.DUMMYFUNCTION("""COMPUTED_VALUE"""),"Tablet")</f>
        <v>Tablet</v>
      </c>
      <c r="J85" s="6" t="str">
        <f>IFERROR(__xludf.DUMMYFUNCTION("""COMPUTED_VALUE"""),"India")</f>
        <v>India</v>
      </c>
      <c r="K85" s="6" t="str">
        <f>IFERROR(__xludf.DUMMYFUNCTION("""COMPUTED_VALUE"""),"Basic")</f>
        <v>Basic</v>
      </c>
      <c r="L85" s="6">
        <f>IFERROR(__xludf.DUMMYFUNCTION("""COMPUTED_VALUE"""),0.0)</f>
        <v>0</v>
      </c>
      <c r="M85" s="6" t="str">
        <f>IFERROR(__xludf.DUMMYFUNCTION("""COMPUTED_VALUE"""),"2023-05")</f>
        <v>2023-05</v>
      </c>
    </row>
    <row r="86">
      <c r="A86" s="6" t="str">
        <f>IFERROR(__xludf.DUMMYFUNCTION("""COMPUTED_VALUE"""),"36c74660-f991-49ee-acaf-90c483b9953e")</f>
        <v>36c74660-f991-49ee-acaf-90c483b9953e</v>
      </c>
      <c r="B86" s="6" t="str">
        <f>IFERROR(__xludf.DUMMYFUNCTION("""COMPUTED_VALUE"""),"20076c5a-58e2-4e91-9c21-c621ccc798df")</f>
        <v>20076c5a-58e2-4e91-9c21-c621ccc798df</v>
      </c>
      <c r="C86" s="7">
        <f>IFERROR(__xludf.DUMMYFUNCTION("""COMPUTED_VALUE"""),45102.0)</f>
        <v>45102</v>
      </c>
      <c r="D86" s="8">
        <f>IFERROR(__xludf.DUMMYFUNCTION("""COMPUTED_VALUE"""),6.6965817E7)</f>
        <v>66965817</v>
      </c>
      <c r="E86" s="6" t="str">
        <f>IFERROR(__xludf.DUMMYFUNCTION("""COMPUTED_VALUE"""),"DOCUMENTARY")</f>
        <v>DOCUMENTARY</v>
      </c>
      <c r="F86" s="6" t="str">
        <f>IFERROR(__xludf.DUMMYFUNCTION("""COMPUTED_VALUE"""),"Sci-Fi")</f>
        <v>Sci-Fi</v>
      </c>
      <c r="G86" s="6">
        <f>IFERROR(__xludf.DUMMYFUNCTION("""COMPUTED_VALUE"""),177.0)</f>
        <v>177</v>
      </c>
      <c r="H86" s="6">
        <f>IFERROR(__xludf.DUMMYFUNCTION("""COMPUTED_VALUE"""),1.0)</f>
        <v>1</v>
      </c>
      <c r="I86" s="6" t="str">
        <f>IFERROR(__xludf.DUMMYFUNCTION("""COMPUTED_VALUE"""),"Mobile")</f>
        <v>Mobile</v>
      </c>
      <c r="J86" s="6" t="str">
        <f>IFERROR(__xludf.DUMMYFUNCTION("""COMPUTED_VALUE"""),"France")</f>
        <v>France</v>
      </c>
      <c r="K86" s="6" t="str">
        <f>IFERROR(__xludf.DUMMYFUNCTION("""COMPUTED_VALUE"""),"Standard")</f>
        <v>Standard</v>
      </c>
      <c r="L86" s="6">
        <f>IFERROR(__xludf.DUMMYFUNCTION("""COMPUTED_VALUE"""),0.0)</f>
        <v>0</v>
      </c>
      <c r="M86" s="6" t="str">
        <f>IFERROR(__xludf.DUMMYFUNCTION("""COMPUTED_VALUE"""),"2023-06")</f>
        <v>2023-06</v>
      </c>
    </row>
    <row r="87">
      <c r="A87" s="6" t="str">
        <f>IFERROR(__xludf.DUMMYFUNCTION("""COMPUTED_VALUE"""),"8d9c8097-81ed-4bab-b10e-03155aeb3613")</f>
        <v>8d9c8097-81ed-4bab-b10e-03155aeb3613</v>
      </c>
      <c r="B87" s="6" t="str">
        <f>IFERROR(__xludf.DUMMYFUNCTION("""COMPUTED_VALUE"""),"200dcee4-5427-4c44-9f54-09f20ae858cc")</f>
        <v>200dcee4-5427-4c44-9f54-09f20ae858cc</v>
      </c>
      <c r="C87" s="7">
        <f>IFERROR(__xludf.DUMMYFUNCTION("""COMPUTED_VALUE"""),45147.0)</f>
        <v>45147</v>
      </c>
      <c r="D87" s="8">
        <f>IFERROR(__xludf.DUMMYFUNCTION("""COMPUTED_VALUE"""),6208974.0)</f>
        <v>6208974</v>
      </c>
      <c r="E87" s="6" t="str">
        <f>IFERROR(__xludf.DUMMYFUNCTION("""COMPUTED_VALUE"""),"MOVIE")</f>
        <v>MOVIE</v>
      </c>
      <c r="F87" s="6" t="str">
        <f>IFERROR(__xludf.DUMMYFUNCTION("""COMPUTED_VALUE"""),"Action")</f>
        <v>Action</v>
      </c>
      <c r="G87" s="6">
        <f>IFERROR(__xludf.DUMMYFUNCTION("""COMPUTED_VALUE"""),28.0)</f>
        <v>28</v>
      </c>
      <c r="H87" s="6">
        <f>IFERROR(__xludf.DUMMYFUNCTION("""COMPUTED_VALUE"""),0.0)</f>
        <v>0</v>
      </c>
      <c r="I87" s="6" t="str">
        <f>IFERROR(__xludf.DUMMYFUNCTION("""COMPUTED_VALUE"""),"Desktop")</f>
        <v>Desktop</v>
      </c>
      <c r="J87" s="6" t="str">
        <f>IFERROR(__xludf.DUMMYFUNCTION("""COMPUTED_VALUE"""),"India")</f>
        <v>India</v>
      </c>
      <c r="K87" s="6" t="str">
        <f>IFERROR(__xludf.DUMMYFUNCTION("""COMPUTED_VALUE"""),"Premium")</f>
        <v>Premium</v>
      </c>
      <c r="L87" s="6">
        <f>IFERROR(__xludf.DUMMYFUNCTION("""COMPUTED_VALUE"""),0.0)</f>
        <v>0</v>
      </c>
      <c r="M87" s="6" t="str">
        <f>IFERROR(__xludf.DUMMYFUNCTION("""COMPUTED_VALUE"""),"2023-08")</f>
        <v>2023-08</v>
      </c>
    </row>
    <row r="88">
      <c r="A88" s="6" t="str">
        <f>IFERROR(__xludf.DUMMYFUNCTION("""COMPUTED_VALUE"""),"7f9c4940-e41b-4689-9d26-336cab95a44b")</f>
        <v>7f9c4940-e41b-4689-9d26-336cab95a44b</v>
      </c>
      <c r="B88" s="6" t="str">
        <f>IFERROR(__xludf.DUMMYFUNCTION("""COMPUTED_VALUE"""),"207b4452-eedb-44ff-bd7f-fc74bbc6f8b7")</f>
        <v>207b4452-eedb-44ff-bd7f-fc74bbc6f8b7</v>
      </c>
      <c r="C88" s="7">
        <f>IFERROR(__xludf.DUMMYFUNCTION("""COMPUTED_VALUE"""),44974.0)</f>
        <v>44974</v>
      </c>
      <c r="D88" s="8">
        <f>IFERROR(__xludf.DUMMYFUNCTION("""COMPUTED_VALUE"""),4.9503128E7)</f>
        <v>49503128</v>
      </c>
      <c r="E88" s="6" t="str">
        <f>IFERROR(__xludf.DUMMYFUNCTION("""COMPUTED_VALUE"""),"DOCUMENTARY")</f>
        <v>DOCUMENTARY</v>
      </c>
      <c r="F88" s="6" t="str">
        <f>IFERROR(__xludf.DUMMYFUNCTION("""COMPUTED_VALUE"""),"Sci-Fi")</f>
        <v>Sci-Fi</v>
      </c>
      <c r="G88" s="6">
        <f>IFERROR(__xludf.DUMMYFUNCTION("""COMPUTED_VALUE"""),73.0)</f>
        <v>73</v>
      </c>
      <c r="H88" s="6">
        <f>IFERROR(__xludf.DUMMYFUNCTION("""COMPUTED_VALUE"""),1.0)</f>
        <v>1</v>
      </c>
      <c r="I88" s="6" t="str">
        <f>IFERROR(__xludf.DUMMYFUNCTION("""COMPUTED_VALUE"""),"Smart Tv")</f>
        <v>Smart Tv</v>
      </c>
      <c r="J88" s="6" t="str">
        <f>IFERROR(__xludf.DUMMYFUNCTION("""COMPUTED_VALUE"""),"Usa")</f>
        <v>Usa</v>
      </c>
      <c r="K88" s="6" t="str">
        <f>IFERROR(__xludf.DUMMYFUNCTION("""COMPUTED_VALUE"""),"Premium")</f>
        <v>Premium</v>
      </c>
      <c r="L88" s="6">
        <f>IFERROR(__xludf.DUMMYFUNCTION("""COMPUTED_VALUE"""),0.0)</f>
        <v>0</v>
      </c>
      <c r="M88" s="6" t="str">
        <f>IFERROR(__xludf.DUMMYFUNCTION("""COMPUTED_VALUE"""),"2023-02")</f>
        <v>2023-02</v>
      </c>
    </row>
    <row r="89">
      <c r="A89" s="6" t="str">
        <f>IFERROR(__xludf.DUMMYFUNCTION("""COMPUTED_VALUE"""),"b11a2e81-5957-485b-9bf1-90617b81739d")</f>
        <v>b11a2e81-5957-485b-9bf1-90617b81739d</v>
      </c>
      <c r="B89" s="6" t="str">
        <f>IFERROR(__xludf.DUMMYFUNCTION("""COMPUTED_VALUE"""),"209051ac-cd64-454a-b134-3b16f1e4e3c3")</f>
        <v>209051ac-cd64-454a-b134-3b16f1e4e3c3</v>
      </c>
      <c r="C89" s="7">
        <f>IFERROR(__xludf.DUMMYFUNCTION("""COMPUTED_VALUE"""),45177.0)</f>
        <v>45177</v>
      </c>
      <c r="D89" s="8">
        <f>IFERROR(__xludf.DUMMYFUNCTION("""COMPUTED_VALUE"""),2.8435631E7)</f>
        <v>28435631</v>
      </c>
      <c r="E89" s="6" t="str">
        <f>IFERROR(__xludf.DUMMYFUNCTION("""COMPUTED_VALUE"""),"MOVIE")</f>
        <v>MOVIE</v>
      </c>
      <c r="F89" s="6" t="str">
        <f>IFERROR(__xludf.DUMMYFUNCTION("""COMPUTED_VALUE"""),"Action")</f>
        <v>Action</v>
      </c>
      <c r="G89" s="6">
        <f>IFERROR(__xludf.DUMMYFUNCTION("""COMPUTED_VALUE"""),163.0)</f>
        <v>163</v>
      </c>
      <c r="H89" s="6">
        <f>IFERROR(__xludf.DUMMYFUNCTION("""COMPUTED_VALUE"""),1.0)</f>
        <v>1</v>
      </c>
      <c r="I89" s="6" t="str">
        <f>IFERROR(__xludf.DUMMYFUNCTION("""COMPUTED_VALUE"""),"Mobile")</f>
        <v>Mobile</v>
      </c>
      <c r="J89" s="6" t="str">
        <f>IFERROR(__xludf.DUMMYFUNCTION("""COMPUTED_VALUE"""),"Uk")</f>
        <v>Uk</v>
      </c>
      <c r="K89" s="6" t="str">
        <f>IFERROR(__xludf.DUMMYFUNCTION("""COMPUTED_VALUE"""),"Basic")</f>
        <v>Basic</v>
      </c>
      <c r="L89" s="6">
        <f>IFERROR(__xludf.DUMMYFUNCTION("""COMPUTED_VALUE"""),0.0)</f>
        <v>0</v>
      </c>
      <c r="M89" s="6" t="str">
        <f>IFERROR(__xludf.DUMMYFUNCTION("""COMPUTED_VALUE"""),"2023-09")</f>
        <v>2023-09</v>
      </c>
    </row>
    <row r="90">
      <c r="A90" s="6" t="str">
        <f>IFERROR(__xludf.DUMMYFUNCTION("""COMPUTED_VALUE"""),"d4be6407-7ee5-4d0a-aeea-b9814647e382")</f>
        <v>d4be6407-7ee5-4d0a-aeea-b9814647e382</v>
      </c>
      <c r="B90" s="6" t="str">
        <f>IFERROR(__xludf.DUMMYFUNCTION("""COMPUTED_VALUE"""),"210601b0-e55b-4a61-826b-8d5423feb872")</f>
        <v>210601b0-e55b-4a61-826b-8d5423feb872</v>
      </c>
      <c r="C90" s="7">
        <f>IFERROR(__xludf.DUMMYFUNCTION("""COMPUTED_VALUE"""),45001.0)</f>
        <v>45001</v>
      </c>
      <c r="D90" s="8">
        <f>IFERROR(__xludf.DUMMYFUNCTION("""COMPUTED_VALUE"""),8.3619939E7)</f>
        <v>83619939</v>
      </c>
      <c r="E90" s="6" t="str">
        <f>IFERROR(__xludf.DUMMYFUNCTION("""COMPUTED_VALUE"""),"MOVIE")</f>
        <v>MOVIE</v>
      </c>
      <c r="F90" s="6" t="str">
        <f>IFERROR(__xludf.DUMMYFUNCTION("""COMPUTED_VALUE"""),"Comedy")</f>
        <v>Comedy</v>
      </c>
      <c r="G90" s="6">
        <f>IFERROR(__xludf.DUMMYFUNCTION("""COMPUTED_VALUE"""),149.0)</f>
        <v>149</v>
      </c>
      <c r="H90" s="6">
        <f>IFERROR(__xludf.DUMMYFUNCTION("""COMPUTED_VALUE"""),0.0)</f>
        <v>0</v>
      </c>
      <c r="I90" s="6" t="str">
        <f>IFERROR(__xludf.DUMMYFUNCTION("""COMPUTED_VALUE"""),"Smart Tv")</f>
        <v>Smart Tv</v>
      </c>
      <c r="J90" s="6" t="str">
        <f>IFERROR(__xludf.DUMMYFUNCTION("""COMPUTED_VALUE"""),"Uk")</f>
        <v>Uk</v>
      </c>
      <c r="K90" s="6" t="str">
        <f>IFERROR(__xludf.DUMMYFUNCTION("""COMPUTED_VALUE"""),"Standard")</f>
        <v>Standard</v>
      </c>
      <c r="L90" s="6">
        <f>IFERROR(__xludf.DUMMYFUNCTION("""COMPUTED_VALUE"""),0.0)</f>
        <v>0</v>
      </c>
      <c r="M90" s="6" t="str">
        <f>IFERROR(__xludf.DUMMYFUNCTION("""COMPUTED_VALUE"""),"2023-03")</f>
        <v>2023-03</v>
      </c>
    </row>
    <row r="91">
      <c r="A91" s="6" t="str">
        <f>IFERROR(__xludf.DUMMYFUNCTION("""COMPUTED_VALUE"""),"ec50b302-c664-4db4-ad1a-4aecddff17cf")</f>
        <v>ec50b302-c664-4db4-ad1a-4aecddff17cf</v>
      </c>
      <c r="B91" s="6" t="str">
        <f>IFERROR(__xludf.DUMMYFUNCTION("""COMPUTED_VALUE"""),"21df4bf7-a609-4b7c-a90a-e8e6aa823b2b")</f>
        <v>21df4bf7-a609-4b7c-a90a-e8e6aa823b2b</v>
      </c>
      <c r="C91" s="7">
        <f>IFERROR(__xludf.DUMMYFUNCTION("""COMPUTED_VALUE"""),44947.0)</f>
        <v>44947</v>
      </c>
      <c r="D91" s="8">
        <f>IFERROR(__xludf.DUMMYFUNCTION("""COMPUTED_VALUE"""),9.0673542E7)</f>
        <v>90673542</v>
      </c>
      <c r="E91" s="6" t="str">
        <f>IFERROR(__xludf.DUMMYFUNCTION("""COMPUTED_VALUE"""),"DOCUMENTARY")</f>
        <v>DOCUMENTARY</v>
      </c>
      <c r="F91" s="6" t="str">
        <f>IFERROR(__xludf.DUMMYFUNCTION("""COMPUTED_VALUE"""),"Comedy")</f>
        <v>Comedy</v>
      </c>
      <c r="G91" s="6">
        <f>IFERROR(__xludf.DUMMYFUNCTION("""COMPUTED_VALUE"""),179.0)</f>
        <v>179</v>
      </c>
      <c r="H91" s="6">
        <f>IFERROR(__xludf.DUMMYFUNCTION("""COMPUTED_VALUE"""),1.0)</f>
        <v>1</v>
      </c>
      <c r="I91" s="6" t="str">
        <f>IFERROR(__xludf.DUMMYFUNCTION("""COMPUTED_VALUE"""),"Mobile")</f>
        <v>Mobile</v>
      </c>
      <c r="J91" s="6" t="str">
        <f>IFERROR(__xludf.DUMMYFUNCTION("""COMPUTED_VALUE"""),"France")</f>
        <v>France</v>
      </c>
      <c r="K91" s="6" t="str">
        <f>IFERROR(__xludf.DUMMYFUNCTION("""COMPUTED_VALUE"""),"Standard")</f>
        <v>Standard</v>
      </c>
      <c r="L91" s="6">
        <f>IFERROR(__xludf.DUMMYFUNCTION("""COMPUTED_VALUE"""),1.0)</f>
        <v>1</v>
      </c>
      <c r="M91" s="6" t="str">
        <f>IFERROR(__xludf.DUMMYFUNCTION("""COMPUTED_VALUE"""),"2023-01")</f>
        <v>2023-01</v>
      </c>
    </row>
    <row r="92">
      <c r="A92" s="6" t="str">
        <f>IFERROR(__xludf.DUMMYFUNCTION("""COMPUTED_VALUE"""),"bd4a680f-deaa-41e2-ac04-830d7ffef01f")</f>
        <v>bd4a680f-deaa-41e2-ac04-830d7ffef01f</v>
      </c>
      <c r="B92" s="6" t="str">
        <f>IFERROR(__xludf.DUMMYFUNCTION("""COMPUTED_VALUE"""),"21e8b52f-bd8b-4328-b7a8-81a1339f0c4e")</f>
        <v>21e8b52f-bd8b-4328-b7a8-81a1339f0c4e</v>
      </c>
      <c r="C92" s="7">
        <f>IFERROR(__xludf.DUMMYFUNCTION("""COMPUTED_VALUE"""),45118.0)</f>
        <v>45118</v>
      </c>
      <c r="D92" s="8">
        <f>IFERROR(__xludf.DUMMYFUNCTION("""COMPUTED_VALUE"""),9.7553168E7)</f>
        <v>97553168</v>
      </c>
      <c r="E92" s="6" t="str">
        <f>IFERROR(__xludf.DUMMYFUNCTION("""COMPUTED_VALUE"""),"SERIES")</f>
        <v>SERIES</v>
      </c>
      <c r="F92" s="6" t="str">
        <f>IFERROR(__xludf.DUMMYFUNCTION("""COMPUTED_VALUE"""),"Drama")</f>
        <v>Drama</v>
      </c>
      <c r="G92" s="6">
        <f>IFERROR(__xludf.DUMMYFUNCTION("""COMPUTED_VALUE"""),17.0)</f>
        <v>17</v>
      </c>
      <c r="H92" s="6">
        <f>IFERROR(__xludf.DUMMYFUNCTION("""COMPUTED_VALUE"""),1.0)</f>
        <v>1</v>
      </c>
      <c r="I92" s="6" t="str">
        <f>IFERROR(__xludf.DUMMYFUNCTION("""COMPUTED_VALUE"""),"Tablet")</f>
        <v>Tablet</v>
      </c>
      <c r="J92" s="6" t="str">
        <f>IFERROR(__xludf.DUMMYFUNCTION("""COMPUTED_VALUE"""),"Germany")</f>
        <v>Germany</v>
      </c>
      <c r="K92" s="6" t="str">
        <f>IFERROR(__xludf.DUMMYFUNCTION("""COMPUTED_VALUE"""),"Standard")</f>
        <v>Standard</v>
      </c>
      <c r="L92" s="6">
        <f>IFERROR(__xludf.DUMMYFUNCTION("""COMPUTED_VALUE"""),1.0)</f>
        <v>1</v>
      </c>
      <c r="M92" s="6" t="str">
        <f>IFERROR(__xludf.DUMMYFUNCTION("""COMPUTED_VALUE"""),"2023-07")</f>
        <v>2023-07</v>
      </c>
    </row>
    <row r="93">
      <c r="A93" s="6" t="str">
        <f>IFERROR(__xludf.DUMMYFUNCTION("""COMPUTED_VALUE"""),"6f4cf935-cbac-4973-a056-cbe4bb920b5c")</f>
        <v>6f4cf935-cbac-4973-a056-cbe4bb920b5c</v>
      </c>
      <c r="B93" s="6" t="str">
        <f>IFERROR(__xludf.DUMMYFUNCTION("""COMPUTED_VALUE"""),"2324f585-6491-40ae-aa57-7777456d2e9e")</f>
        <v>2324f585-6491-40ae-aa57-7777456d2e9e</v>
      </c>
      <c r="C93" s="7">
        <f>IFERROR(__xludf.DUMMYFUNCTION("""COMPUTED_VALUE"""),45016.0)</f>
        <v>45016</v>
      </c>
      <c r="D93" s="8">
        <f>IFERROR(__xludf.DUMMYFUNCTION("""COMPUTED_VALUE"""),7.6689444E7)</f>
        <v>76689444</v>
      </c>
      <c r="E93" s="6" t="str">
        <f>IFERROR(__xludf.DUMMYFUNCTION("""COMPUTED_VALUE"""),"SERIES")</f>
        <v>SERIES</v>
      </c>
      <c r="F93" s="6" t="str">
        <f>IFERROR(__xludf.DUMMYFUNCTION("""COMPUTED_VALUE"""),"Drama")</f>
        <v>Drama</v>
      </c>
      <c r="G93" s="6">
        <f>IFERROR(__xludf.DUMMYFUNCTION("""COMPUTED_VALUE"""),9.0)</f>
        <v>9</v>
      </c>
      <c r="H93" s="6">
        <f>IFERROR(__xludf.DUMMYFUNCTION("""COMPUTED_VALUE"""),1.0)</f>
        <v>1</v>
      </c>
      <c r="I93" s="6" t="str">
        <f>IFERROR(__xludf.DUMMYFUNCTION("""COMPUTED_VALUE"""),"Smart Tv")</f>
        <v>Smart Tv</v>
      </c>
      <c r="J93" s="6" t="str">
        <f>IFERROR(__xludf.DUMMYFUNCTION("""COMPUTED_VALUE"""),"Usa")</f>
        <v>Usa</v>
      </c>
      <c r="K93" s="6" t="str">
        <f>IFERROR(__xludf.DUMMYFUNCTION("""COMPUTED_VALUE"""),"Basic")</f>
        <v>Basic</v>
      </c>
      <c r="L93" s="6">
        <f>IFERROR(__xludf.DUMMYFUNCTION("""COMPUTED_VALUE"""),0.0)</f>
        <v>0</v>
      </c>
      <c r="M93" s="6" t="str">
        <f>IFERROR(__xludf.DUMMYFUNCTION("""COMPUTED_VALUE"""),"2023-03")</f>
        <v>2023-03</v>
      </c>
    </row>
    <row r="94">
      <c r="A94" s="6" t="str">
        <f>IFERROR(__xludf.DUMMYFUNCTION("""COMPUTED_VALUE"""),"df529b12-9810-419d-af92-f740a126c4f0")</f>
        <v>df529b12-9810-419d-af92-f740a126c4f0</v>
      </c>
      <c r="B94" s="6" t="str">
        <f>IFERROR(__xludf.DUMMYFUNCTION("""COMPUTED_VALUE"""),"237709ca-99da-45b4-83dd-6001d5b172f1")</f>
        <v>237709ca-99da-45b4-83dd-6001d5b172f1</v>
      </c>
      <c r="C94" s="7">
        <f>IFERROR(__xludf.DUMMYFUNCTION("""COMPUTED_VALUE"""),45116.0)</f>
        <v>45116</v>
      </c>
      <c r="D94" s="8">
        <f>IFERROR(__xludf.DUMMYFUNCTION("""COMPUTED_VALUE"""),3.1237345E7)</f>
        <v>31237345</v>
      </c>
      <c r="E94" s="6" t="str">
        <f>IFERROR(__xludf.DUMMYFUNCTION("""COMPUTED_VALUE"""),"MOVIE")</f>
        <v>MOVIE</v>
      </c>
      <c r="F94" s="6" t="str">
        <f>IFERROR(__xludf.DUMMYFUNCTION("""COMPUTED_VALUE"""),"Drama")</f>
        <v>Drama</v>
      </c>
      <c r="G94" s="6">
        <f>IFERROR(__xludf.DUMMYFUNCTION("""COMPUTED_VALUE"""),148.0)</f>
        <v>148</v>
      </c>
      <c r="H94" s="6">
        <f>IFERROR(__xludf.DUMMYFUNCTION("""COMPUTED_VALUE"""),0.0)</f>
        <v>0</v>
      </c>
      <c r="I94" s="6" t="str">
        <f>IFERROR(__xludf.DUMMYFUNCTION("""COMPUTED_VALUE"""),"Smart Tv")</f>
        <v>Smart Tv</v>
      </c>
      <c r="J94" s="6" t="str">
        <f>IFERROR(__xludf.DUMMYFUNCTION("""COMPUTED_VALUE"""),"Usa")</f>
        <v>Usa</v>
      </c>
      <c r="K94" s="6" t="str">
        <f>IFERROR(__xludf.DUMMYFUNCTION("""COMPUTED_VALUE"""),"Basic")</f>
        <v>Basic</v>
      </c>
      <c r="L94" s="6">
        <f>IFERROR(__xludf.DUMMYFUNCTION("""COMPUTED_VALUE"""),0.0)</f>
        <v>0</v>
      </c>
      <c r="M94" s="6" t="str">
        <f>IFERROR(__xludf.DUMMYFUNCTION("""COMPUTED_VALUE"""),"2023-07")</f>
        <v>2023-07</v>
      </c>
    </row>
    <row r="95">
      <c r="A95" s="6" t="str">
        <f>IFERROR(__xludf.DUMMYFUNCTION("""COMPUTED_VALUE"""),"5c80560b-3bb9-4a4b-b803-fff38f9b0bda")</f>
        <v>5c80560b-3bb9-4a4b-b803-fff38f9b0bda</v>
      </c>
      <c r="B95" s="6" t="str">
        <f>IFERROR(__xludf.DUMMYFUNCTION("""COMPUTED_VALUE"""),"2395411a-7eb2-4f65-b0e3-9d2b9047d254")</f>
        <v>2395411a-7eb2-4f65-b0e3-9d2b9047d254</v>
      </c>
      <c r="C95" s="7">
        <f>IFERROR(__xludf.DUMMYFUNCTION("""COMPUTED_VALUE"""),44979.0)</f>
        <v>44979</v>
      </c>
      <c r="D95" s="8">
        <f>IFERROR(__xludf.DUMMYFUNCTION("""COMPUTED_VALUE"""),3.4079256E7)</f>
        <v>34079256</v>
      </c>
      <c r="E95" s="6" t="str">
        <f>IFERROR(__xludf.DUMMYFUNCTION("""COMPUTED_VALUE"""),"DOCUMENTARY")</f>
        <v>DOCUMENTARY</v>
      </c>
      <c r="F95" s="6" t="str">
        <f>IFERROR(__xludf.DUMMYFUNCTION("""COMPUTED_VALUE"""),"Drama")</f>
        <v>Drama</v>
      </c>
      <c r="G95" s="6">
        <f>IFERROR(__xludf.DUMMYFUNCTION("""COMPUTED_VALUE"""),152.0)</f>
        <v>152</v>
      </c>
      <c r="H95" s="6">
        <f>IFERROR(__xludf.DUMMYFUNCTION("""COMPUTED_VALUE"""),1.0)</f>
        <v>1</v>
      </c>
      <c r="I95" s="6" t="str">
        <f>IFERROR(__xludf.DUMMYFUNCTION("""COMPUTED_VALUE"""),"Tablet")</f>
        <v>Tablet</v>
      </c>
      <c r="J95" s="6" t="str">
        <f>IFERROR(__xludf.DUMMYFUNCTION("""COMPUTED_VALUE"""),"Uk")</f>
        <v>Uk</v>
      </c>
      <c r="K95" s="6" t="str">
        <f>IFERROR(__xludf.DUMMYFUNCTION("""COMPUTED_VALUE"""),"Basic")</f>
        <v>Basic</v>
      </c>
      <c r="L95" s="6">
        <f>IFERROR(__xludf.DUMMYFUNCTION("""COMPUTED_VALUE"""),1.0)</f>
        <v>1</v>
      </c>
      <c r="M95" s="6" t="str">
        <f>IFERROR(__xludf.DUMMYFUNCTION("""COMPUTED_VALUE"""),"2023-02")</f>
        <v>2023-02</v>
      </c>
    </row>
    <row r="96">
      <c r="A96" s="6" t="str">
        <f>IFERROR(__xludf.DUMMYFUNCTION("""COMPUTED_VALUE"""),"2c8ae4fa-0da0-4643-a850-6ee89c3b99c1")</f>
        <v>2c8ae4fa-0da0-4643-a850-6ee89c3b99c1</v>
      </c>
      <c r="B96" s="6" t="str">
        <f>IFERROR(__xludf.DUMMYFUNCTION("""COMPUTED_VALUE"""),"23d5ef9e-9808-42ad-85df-d3ca988fa60a")</f>
        <v>23d5ef9e-9808-42ad-85df-d3ca988fa60a</v>
      </c>
      <c r="C96" s="7">
        <f>IFERROR(__xludf.DUMMYFUNCTION("""COMPUTED_VALUE"""),45231.0)</f>
        <v>45231</v>
      </c>
      <c r="D96" s="8">
        <f>IFERROR(__xludf.DUMMYFUNCTION("""COMPUTED_VALUE"""),8.7987843E7)</f>
        <v>87987843</v>
      </c>
      <c r="E96" s="6" t="str">
        <f>IFERROR(__xludf.DUMMYFUNCTION("""COMPUTED_VALUE"""),"DOCUMENTARY")</f>
        <v>DOCUMENTARY</v>
      </c>
      <c r="F96" s="6" t="str">
        <f>IFERROR(__xludf.DUMMYFUNCTION("""COMPUTED_VALUE"""),"Thriller")</f>
        <v>Thriller</v>
      </c>
      <c r="G96" s="6">
        <f>IFERROR(__xludf.DUMMYFUNCTION("""COMPUTED_VALUE"""),112.0)</f>
        <v>112</v>
      </c>
      <c r="H96" s="6">
        <f>IFERROR(__xludf.DUMMYFUNCTION("""COMPUTED_VALUE"""),1.0)</f>
        <v>1</v>
      </c>
      <c r="I96" s="6" t="str">
        <f>IFERROR(__xludf.DUMMYFUNCTION("""COMPUTED_VALUE"""),"Tablet")</f>
        <v>Tablet</v>
      </c>
      <c r="J96" s="6" t="str">
        <f>IFERROR(__xludf.DUMMYFUNCTION("""COMPUTED_VALUE"""),"Uk")</f>
        <v>Uk</v>
      </c>
      <c r="K96" s="6" t="str">
        <f>IFERROR(__xludf.DUMMYFUNCTION("""COMPUTED_VALUE"""),"Basic")</f>
        <v>Basic</v>
      </c>
      <c r="L96" s="6">
        <f>IFERROR(__xludf.DUMMYFUNCTION("""COMPUTED_VALUE"""),0.0)</f>
        <v>0</v>
      </c>
      <c r="M96" s="6" t="str">
        <f>IFERROR(__xludf.DUMMYFUNCTION("""COMPUTED_VALUE"""),"2023-11")</f>
        <v>2023-11</v>
      </c>
    </row>
    <row r="97">
      <c r="A97" s="6" t="str">
        <f>IFERROR(__xludf.DUMMYFUNCTION("""COMPUTED_VALUE"""),"38b28557-9276-4e42-a93d-0153fa51ac5d")</f>
        <v>38b28557-9276-4e42-a93d-0153fa51ac5d</v>
      </c>
      <c r="B97" s="6" t="str">
        <f>IFERROR(__xludf.DUMMYFUNCTION("""COMPUTED_VALUE"""),"24106535-f95a-4d86-b2cb-a46d1fd1d56b")</f>
        <v>24106535-f95a-4d86-b2cb-a46d1fd1d56b</v>
      </c>
      <c r="C97" s="7">
        <f>IFERROR(__xludf.DUMMYFUNCTION("""COMPUTED_VALUE"""),44929.0)</f>
        <v>44929</v>
      </c>
      <c r="D97" s="8">
        <f>IFERROR(__xludf.DUMMYFUNCTION("""COMPUTED_VALUE"""),8.9377888E7)</f>
        <v>89377888</v>
      </c>
      <c r="E97" s="6" t="str">
        <f>IFERROR(__xludf.DUMMYFUNCTION("""COMPUTED_VALUE"""),"SERIES")</f>
        <v>SERIES</v>
      </c>
      <c r="F97" s="6" t="str">
        <f>IFERROR(__xludf.DUMMYFUNCTION("""COMPUTED_VALUE"""),"Sci-Fi")</f>
        <v>Sci-Fi</v>
      </c>
      <c r="G97" s="6">
        <f>IFERROR(__xludf.DUMMYFUNCTION("""COMPUTED_VALUE"""),160.0)</f>
        <v>160</v>
      </c>
      <c r="H97" s="6">
        <f>IFERROR(__xludf.DUMMYFUNCTION("""COMPUTED_VALUE"""),1.0)</f>
        <v>1</v>
      </c>
      <c r="I97" s="6" t="str">
        <f>IFERROR(__xludf.DUMMYFUNCTION("""COMPUTED_VALUE"""),"Smart Tv")</f>
        <v>Smart Tv</v>
      </c>
      <c r="J97" s="6" t="str">
        <f>IFERROR(__xludf.DUMMYFUNCTION("""COMPUTED_VALUE"""),"Germany")</f>
        <v>Germany</v>
      </c>
      <c r="K97" s="6" t="str">
        <f>IFERROR(__xludf.DUMMYFUNCTION("""COMPUTED_VALUE"""),"Premium")</f>
        <v>Premium</v>
      </c>
      <c r="L97" s="6">
        <f>IFERROR(__xludf.DUMMYFUNCTION("""COMPUTED_VALUE"""),0.0)</f>
        <v>0</v>
      </c>
      <c r="M97" s="6" t="str">
        <f>IFERROR(__xludf.DUMMYFUNCTION("""COMPUTED_VALUE"""),"2023-01")</f>
        <v>2023-01</v>
      </c>
    </row>
    <row r="98">
      <c r="A98" s="6" t="str">
        <f>IFERROR(__xludf.DUMMYFUNCTION("""COMPUTED_VALUE"""),"372e33be-ff86-49fd-9f0f-52f4bc22f275")</f>
        <v>372e33be-ff86-49fd-9f0f-52f4bc22f275</v>
      </c>
      <c r="B98" s="6" t="str">
        <f>IFERROR(__xludf.DUMMYFUNCTION("""COMPUTED_VALUE"""),"244afe84-80a3-403d-aad9-815180114266")</f>
        <v>244afe84-80a3-403d-aad9-815180114266</v>
      </c>
      <c r="C98" s="7">
        <f>IFERROR(__xludf.DUMMYFUNCTION("""COMPUTED_VALUE"""),45290.0)</f>
        <v>45290</v>
      </c>
      <c r="D98" s="8">
        <f>IFERROR(__xludf.DUMMYFUNCTION("""COMPUTED_VALUE"""),6.9952982E7)</f>
        <v>69952982</v>
      </c>
      <c r="E98" s="6" t="str">
        <f>IFERROR(__xludf.DUMMYFUNCTION("""COMPUTED_VALUE"""),"DOCUMENTARY")</f>
        <v>DOCUMENTARY</v>
      </c>
      <c r="F98" s="6" t="str">
        <f>IFERROR(__xludf.DUMMYFUNCTION("""COMPUTED_VALUE"""),"Action")</f>
        <v>Action</v>
      </c>
      <c r="G98" s="6">
        <f>IFERROR(__xludf.DUMMYFUNCTION("""COMPUTED_VALUE"""),11.0)</f>
        <v>11</v>
      </c>
      <c r="H98" s="6">
        <f>IFERROR(__xludf.DUMMYFUNCTION("""COMPUTED_VALUE"""),1.0)</f>
        <v>1</v>
      </c>
      <c r="I98" s="6" t="str">
        <f>IFERROR(__xludf.DUMMYFUNCTION("""COMPUTED_VALUE"""),"Desktop")</f>
        <v>Desktop</v>
      </c>
      <c r="J98" s="6" t="str">
        <f>IFERROR(__xludf.DUMMYFUNCTION("""COMPUTED_VALUE"""),"Germany")</f>
        <v>Germany</v>
      </c>
      <c r="K98" s="6" t="str">
        <f>IFERROR(__xludf.DUMMYFUNCTION("""COMPUTED_VALUE"""),"Standard")</f>
        <v>Standard</v>
      </c>
      <c r="L98" s="6">
        <f>IFERROR(__xludf.DUMMYFUNCTION("""COMPUTED_VALUE"""),0.0)</f>
        <v>0</v>
      </c>
      <c r="M98" s="6" t="str">
        <f>IFERROR(__xludf.DUMMYFUNCTION("""COMPUTED_VALUE"""),"2023-12")</f>
        <v>2023-12</v>
      </c>
    </row>
    <row r="99">
      <c r="A99" s="6" t="str">
        <f>IFERROR(__xludf.DUMMYFUNCTION("""COMPUTED_VALUE"""),"5a2e6a99-7166-454b-9305-75711e69b4b0")</f>
        <v>5a2e6a99-7166-454b-9305-75711e69b4b0</v>
      </c>
      <c r="B99" s="6" t="str">
        <f>IFERROR(__xludf.DUMMYFUNCTION("""COMPUTED_VALUE"""),"24fdd6d6-9967-4c72-a15e-284c0fde468a")</f>
        <v>24fdd6d6-9967-4c72-a15e-284c0fde468a</v>
      </c>
      <c r="C99" s="7">
        <f>IFERROR(__xludf.DUMMYFUNCTION("""COMPUTED_VALUE"""),45226.0)</f>
        <v>45226</v>
      </c>
      <c r="D99" s="8">
        <f>IFERROR(__xludf.DUMMYFUNCTION("""COMPUTED_VALUE"""),4.4365578E7)</f>
        <v>44365578</v>
      </c>
      <c r="E99" s="6" t="str">
        <f>IFERROR(__xludf.DUMMYFUNCTION("""COMPUTED_VALUE"""),"DOCUMENTARY")</f>
        <v>DOCUMENTARY</v>
      </c>
      <c r="F99" s="6" t="str">
        <f>IFERROR(__xludf.DUMMYFUNCTION("""COMPUTED_VALUE"""),"Action")</f>
        <v>Action</v>
      </c>
      <c r="G99" s="6">
        <f>IFERROR(__xludf.DUMMYFUNCTION("""COMPUTED_VALUE"""),130.0)</f>
        <v>130</v>
      </c>
      <c r="H99" s="6">
        <f>IFERROR(__xludf.DUMMYFUNCTION("""COMPUTED_VALUE"""),1.0)</f>
        <v>1</v>
      </c>
      <c r="I99" s="6" t="str">
        <f>IFERROR(__xludf.DUMMYFUNCTION("""COMPUTED_VALUE"""),"Mobile")</f>
        <v>Mobile</v>
      </c>
      <c r="J99" s="6" t="str">
        <f>IFERROR(__xludf.DUMMYFUNCTION("""COMPUTED_VALUE"""),"Uk")</f>
        <v>Uk</v>
      </c>
      <c r="K99" s="6" t="str">
        <f>IFERROR(__xludf.DUMMYFUNCTION("""COMPUTED_VALUE"""),"Basic")</f>
        <v>Basic</v>
      </c>
      <c r="L99" s="6">
        <f>IFERROR(__xludf.DUMMYFUNCTION("""COMPUTED_VALUE"""),0.0)</f>
        <v>0</v>
      </c>
      <c r="M99" s="6" t="str">
        <f>IFERROR(__xludf.DUMMYFUNCTION("""COMPUTED_VALUE"""),"2023-10")</f>
        <v>2023-10</v>
      </c>
    </row>
    <row r="100">
      <c r="A100" s="6" t="str">
        <f>IFERROR(__xludf.DUMMYFUNCTION("""COMPUTED_VALUE"""),"1c476113-666b-4ee2-89af-952d431d69d8")</f>
        <v>1c476113-666b-4ee2-89af-952d431d69d8</v>
      </c>
      <c r="B100" s="6" t="str">
        <f>IFERROR(__xludf.DUMMYFUNCTION("""COMPUTED_VALUE"""),"26e964af-066a-4bcd-9a51-c7e7e45cbf55")</f>
        <v>26e964af-066a-4bcd-9a51-c7e7e45cbf55</v>
      </c>
      <c r="C100" s="7">
        <f>IFERROR(__xludf.DUMMYFUNCTION("""COMPUTED_VALUE"""),45180.0)</f>
        <v>45180</v>
      </c>
      <c r="D100" s="8">
        <f>IFERROR(__xludf.DUMMYFUNCTION("""COMPUTED_VALUE"""),7.5733926E7)</f>
        <v>75733926</v>
      </c>
      <c r="E100" s="6" t="str">
        <f>IFERROR(__xludf.DUMMYFUNCTION("""COMPUTED_VALUE"""),"SERIES")</f>
        <v>SERIES</v>
      </c>
      <c r="F100" s="6" t="str">
        <f>IFERROR(__xludf.DUMMYFUNCTION("""COMPUTED_VALUE"""),"Comedy")</f>
        <v>Comedy</v>
      </c>
      <c r="G100" s="6">
        <f>IFERROR(__xludf.DUMMYFUNCTION("""COMPUTED_VALUE"""),23.0)</f>
        <v>23</v>
      </c>
      <c r="H100" s="6">
        <f>IFERROR(__xludf.DUMMYFUNCTION("""COMPUTED_VALUE"""),1.0)</f>
        <v>1</v>
      </c>
      <c r="I100" s="6" t="str">
        <f>IFERROR(__xludf.DUMMYFUNCTION("""COMPUTED_VALUE"""),"Smart Tv")</f>
        <v>Smart Tv</v>
      </c>
      <c r="J100" s="6" t="str">
        <f>IFERROR(__xludf.DUMMYFUNCTION("""COMPUTED_VALUE"""),"India")</f>
        <v>India</v>
      </c>
      <c r="K100" s="6" t="str">
        <f>IFERROR(__xludf.DUMMYFUNCTION("""COMPUTED_VALUE"""),"Standard")</f>
        <v>Standard</v>
      </c>
      <c r="L100" s="6">
        <f>IFERROR(__xludf.DUMMYFUNCTION("""COMPUTED_VALUE"""),0.0)</f>
        <v>0</v>
      </c>
      <c r="M100" s="6" t="str">
        <f>IFERROR(__xludf.DUMMYFUNCTION("""COMPUTED_VALUE"""),"2023-09")</f>
        <v>2023-09</v>
      </c>
    </row>
    <row r="101">
      <c r="A101" s="6" t="str">
        <f>IFERROR(__xludf.DUMMYFUNCTION("""COMPUTED_VALUE"""),"8b7f62c4-a371-489d-99fb-09cc0e8d650b")</f>
        <v>8b7f62c4-a371-489d-99fb-09cc0e8d650b</v>
      </c>
      <c r="B101" s="6" t="str">
        <f>IFERROR(__xludf.DUMMYFUNCTION("""COMPUTED_VALUE"""),"270cb8bc-1cfc-4f63-82e5-2002fa29f732")</f>
        <v>270cb8bc-1cfc-4f63-82e5-2002fa29f732</v>
      </c>
      <c r="C101" s="7">
        <f>IFERROR(__xludf.DUMMYFUNCTION("""COMPUTED_VALUE"""),45039.0)</f>
        <v>45039</v>
      </c>
      <c r="D101" s="8">
        <f>IFERROR(__xludf.DUMMYFUNCTION("""COMPUTED_VALUE"""),7.484517E7)</f>
        <v>74845170</v>
      </c>
      <c r="E101" s="6" t="str">
        <f>IFERROR(__xludf.DUMMYFUNCTION("""COMPUTED_VALUE"""),"DOCUMENTARY")</f>
        <v>DOCUMENTARY</v>
      </c>
      <c r="F101" s="6" t="str">
        <f>IFERROR(__xludf.DUMMYFUNCTION("""COMPUTED_VALUE"""),"Comedy")</f>
        <v>Comedy</v>
      </c>
      <c r="G101" s="6">
        <f>IFERROR(__xludf.DUMMYFUNCTION("""COMPUTED_VALUE"""),91.0)</f>
        <v>91</v>
      </c>
      <c r="H101" s="6">
        <f>IFERROR(__xludf.DUMMYFUNCTION("""COMPUTED_VALUE"""),0.0)</f>
        <v>0</v>
      </c>
      <c r="I101" s="6" t="str">
        <f>IFERROR(__xludf.DUMMYFUNCTION("""COMPUTED_VALUE"""),"Mobile")</f>
        <v>Mobile</v>
      </c>
      <c r="J101" s="6" t="str">
        <f>IFERROR(__xludf.DUMMYFUNCTION("""COMPUTED_VALUE"""),"Germany")</f>
        <v>Germany</v>
      </c>
      <c r="K101" s="6" t="str">
        <f>IFERROR(__xludf.DUMMYFUNCTION("""COMPUTED_VALUE"""),"Premium")</f>
        <v>Premium</v>
      </c>
      <c r="L101" s="6">
        <f>IFERROR(__xludf.DUMMYFUNCTION("""COMPUTED_VALUE"""),1.0)</f>
        <v>1</v>
      </c>
      <c r="M101" s="6" t="str">
        <f>IFERROR(__xludf.DUMMYFUNCTION("""COMPUTED_VALUE"""),"2023-04")</f>
        <v>2023-04</v>
      </c>
    </row>
    <row r="102">
      <c r="A102" s="6" t="str">
        <f>IFERROR(__xludf.DUMMYFUNCTION("""COMPUTED_VALUE"""),"abf39a7d-2b6b-40f8-92f9-43e8688ddd04")</f>
        <v>abf39a7d-2b6b-40f8-92f9-43e8688ddd04</v>
      </c>
      <c r="B102" s="6" t="str">
        <f>IFERROR(__xludf.DUMMYFUNCTION("""COMPUTED_VALUE"""),"276e0348-4583-4fc6-90e9-547884661e3f")</f>
        <v>276e0348-4583-4fc6-90e9-547884661e3f</v>
      </c>
      <c r="C102" s="7">
        <f>IFERROR(__xludf.DUMMYFUNCTION("""COMPUTED_VALUE"""),45050.0)</f>
        <v>45050</v>
      </c>
      <c r="D102" s="8">
        <f>IFERROR(__xludf.DUMMYFUNCTION("""COMPUTED_VALUE"""),3.2522938E7)</f>
        <v>32522938</v>
      </c>
      <c r="E102" s="6" t="str">
        <f>IFERROR(__xludf.DUMMYFUNCTION("""COMPUTED_VALUE"""),"SERIES")</f>
        <v>SERIES</v>
      </c>
      <c r="F102" s="6" t="str">
        <f>IFERROR(__xludf.DUMMYFUNCTION("""COMPUTED_VALUE"""),"Thriller")</f>
        <v>Thriller</v>
      </c>
      <c r="G102" s="6">
        <f>IFERROR(__xludf.DUMMYFUNCTION("""COMPUTED_VALUE"""),36.0)</f>
        <v>36</v>
      </c>
      <c r="H102" s="6">
        <f>IFERROR(__xludf.DUMMYFUNCTION("""COMPUTED_VALUE"""),1.0)</f>
        <v>1</v>
      </c>
      <c r="I102" s="6" t="str">
        <f>IFERROR(__xludf.DUMMYFUNCTION("""COMPUTED_VALUE"""),"Mobile")</f>
        <v>Mobile</v>
      </c>
      <c r="J102" s="6" t="str">
        <f>IFERROR(__xludf.DUMMYFUNCTION("""COMPUTED_VALUE"""),"Usa")</f>
        <v>Usa</v>
      </c>
      <c r="K102" s="6" t="str">
        <f>IFERROR(__xludf.DUMMYFUNCTION("""COMPUTED_VALUE"""),"Standard")</f>
        <v>Standard</v>
      </c>
      <c r="L102" s="6">
        <f>IFERROR(__xludf.DUMMYFUNCTION("""COMPUTED_VALUE"""),0.0)</f>
        <v>0</v>
      </c>
      <c r="M102" s="6" t="str">
        <f>IFERROR(__xludf.DUMMYFUNCTION("""COMPUTED_VALUE"""),"2023-05")</f>
        <v>2023-05</v>
      </c>
    </row>
    <row r="103">
      <c r="A103" s="6" t="str">
        <f>IFERROR(__xludf.DUMMYFUNCTION("""COMPUTED_VALUE"""),"91bd3fdf-c4cd-4d57-b59b-05fa3ed3bfbf")</f>
        <v>91bd3fdf-c4cd-4d57-b59b-05fa3ed3bfbf</v>
      </c>
      <c r="B103" s="6" t="str">
        <f>IFERROR(__xludf.DUMMYFUNCTION("""COMPUTED_VALUE"""),"27ff85b1-4fd8-4369-9d16-2eba6049a473")</f>
        <v>27ff85b1-4fd8-4369-9d16-2eba6049a473</v>
      </c>
      <c r="C103" s="7">
        <f>IFERROR(__xludf.DUMMYFUNCTION("""COMPUTED_VALUE"""),44937.0)</f>
        <v>44937</v>
      </c>
      <c r="D103" s="8">
        <f>IFERROR(__xludf.DUMMYFUNCTION("""COMPUTED_VALUE"""),8.0959779E7)</f>
        <v>80959779</v>
      </c>
      <c r="E103" s="6" t="str">
        <f>IFERROR(__xludf.DUMMYFUNCTION("""COMPUTED_VALUE"""),"DOCUMENTARY")</f>
        <v>DOCUMENTARY</v>
      </c>
      <c r="F103" s="6" t="str">
        <f>IFERROR(__xludf.DUMMYFUNCTION("""COMPUTED_VALUE"""),"Thriller")</f>
        <v>Thriller</v>
      </c>
      <c r="G103" s="6">
        <f>IFERROR(__xludf.DUMMYFUNCTION("""COMPUTED_VALUE"""),13.0)</f>
        <v>13</v>
      </c>
      <c r="H103" s="6">
        <f>IFERROR(__xludf.DUMMYFUNCTION("""COMPUTED_VALUE"""),1.0)</f>
        <v>1</v>
      </c>
      <c r="I103" s="6" t="str">
        <f>IFERROR(__xludf.DUMMYFUNCTION("""COMPUTED_VALUE"""),"Desktop")</f>
        <v>Desktop</v>
      </c>
      <c r="J103" s="6" t="str">
        <f>IFERROR(__xludf.DUMMYFUNCTION("""COMPUTED_VALUE"""),"Usa")</f>
        <v>Usa</v>
      </c>
      <c r="K103" s="6" t="str">
        <f>IFERROR(__xludf.DUMMYFUNCTION("""COMPUTED_VALUE"""),"Premium")</f>
        <v>Premium</v>
      </c>
      <c r="L103" s="6">
        <f>IFERROR(__xludf.DUMMYFUNCTION("""COMPUTED_VALUE"""),0.0)</f>
        <v>0</v>
      </c>
      <c r="M103" s="6" t="str">
        <f>IFERROR(__xludf.DUMMYFUNCTION("""COMPUTED_VALUE"""),"2023-01")</f>
        <v>2023-01</v>
      </c>
    </row>
    <row r="104">
      <c r="A104" s="6" t="str">
        <f>IFERROR(__xludf.DUMMYFUNCTION("""COMPUTED_VALUE"""),"9954748a-0297-49f9-9f88-3e7bfd02e6af")</f>
        <v>9954748a-0297-49f9-9f88-3e7bfd02e6af</v>
      </c>
      <c r="B104" s="6" t="str">
        <f>IFERROR(__xludf.DUMMYFUNCTION("""COMPUTED_VALUE"""),"28751b49-25f7-429b-8ada-56bd34f2cada")</f>
        <v>28751b49-25f7-429b-8ada-56bd34f2cada</v>
      </c>
      <c r="C104" s="7">
        <f>IFERROR(__xludf.DUMMYFUNCTION("""COMPUTED_VALUE"""),44947.0)</f>
        <v>44947</v>
      </c>
      <c r="D104" s="8">
        <f>IFERROR(__xludf.DUMMYFUNCTION("""COMPUTED_VALUE"""),4.6213587E7)</f>
        <v>46213587</v>
      </c>
      <c r="E104" s="6" t="str">
        <f>IFERROR(__xludf.DUMMYFUNCTION("""COMPUTED_VALUE"""),"SERIES")</f>
        <v>SERIES</v>
      </c>
      <c r="F104" s="6" t="str">
        <f>IFERROR(__xludf.DUMMYFUNCTION("""COMPUTED_VALUE"""),"Action")</f>
        <v>Action</v>
      </c>
      <c r="G104" s="6">
        <f>IFERROR(__xludf.DUMMYFUNCTION("""COMPUTED_VALUE"""),69.0)</f>
        <v>69</v>
      </c>
      <c r="H104" s="6">
        <f>IFERROR(__xludf.DUMMYFUNCTION("""COMPUTED_VALUE"""),0.0)</f>
        <v>0</v>
      </c>
      <c r="I104" s="6" t="str">
        <f>IFERROR(__xludf.DUMMYFUNCTION("""COMPUTED_VALUE"""),"Mobile")</f>
        <v>Mobile</v>
      </c>
      <c r="J104" s="6" t="str">
        <f>IFERROR(__xludf.DUMMYFUNCTION("""COMPUTED_VALUE"""),"Usa")</f>
        <v>Usa</v>
      </c>
      <c r="K104" s="6" t="str">
        <f>IFERROR(__xludf.DUMMYFUNCTION("""COMPUTED_VALUE"""),"Premium")</f>
        <v>Premium</v>
      </c>
      <c r="L104" s="6">
        <f>IFERROR(__xludf.DUMMYFUNCTION("""COMPUTED_VALUE"""),0.0)</f>
        <v>0</v>
      </c>
      <c r="M104" s="6" t="str">
        <f>IFERROR(__xludf.DUMMYFUNCTION("""COMPUTED_VALUE"""),"2023-01")</f>
        <v>2023-01</v>
      </c>
    </row>
    <row r="105">
      <c r="A105" s="6" t="str">
        <f>IFERROR(__xludf.DUMMYFUNCTION("""COMPUTED_VALUE"""),"55d925ca-19d2-4870-8b4b-99823ab88289")</f>
        <v>55d925ca-19d2-4870-8b4b-99823ab88289</v>
      </c>
      <c r="B105" s="6" t="str">
        <f>IFERROR(__xludf.DUMMYFUNCTION("""COMPUTED_VALUE"""),"289cae08-1512-4e13-a01e-fcccde9a2e3a")</f>
        <v>289cae08-1512-4e13-a01e-fcccde9a2e3a</v>
      </c>
      <c r="C105" s="7">
        <f>IFERROR(__xludf.DUMMYFUNCTION("""COMPUTED_VALUE"""),45225.0)</f>
        <v>45225</v>
      </c>
      <c r="D105" s="8">
        <f>IFERROR(__xludf.DUMMYFUNCTION("""COMPUTED_VALUE"""),8.2618759E7)</f>
        <v>82618759</v>
      </c>
      <c r="E105" s="6" t="str">
        <f>IFERROR(__xludf.DUMMYFUNCTION("""COMPUTED_VALUE"""),"MOVIE")</f>
        <v>MOVIE</v>
      </c>
      <c r="F105" s="6" t="str">
        <f>IFERROR(__xludf.DUMMYFUNCTION("""COMPUTED_VALUE"""),"Comedy")</f>
        <v>Comedy</v>
      </c>
      <c r="G105" s="6">
        <f>IFERROR(__xludf.DUMMYFUNCTION("""COMPUTED_VALUE"""),85.0)</f>
        <v>85</v>
      </c>
      <c r="H105" s="6">
        <f>IFERROR(__xludf.DUMMYFUNCTION("""COMPUTED_VALUE"""),1.0)</f>
        <v>1</v>
      </c>
      <c r="I105" s="6" t="str">
        <f>IFERROR(__xludf.DUMMYFUNCTION("""COMPUTED_VALUE"""),"Smart Tv")</f>
        <v>Smart Tv</v>
      </c>
      <c r="J105" s="6" t="str">
        <f>IFERROR(__xludf.DUMMYFUNCTION("""COMPUTED_VALUE"""),"Uk")</f>
        <v>Uk</v>
      </c>
      <c r="K105" s="6" t="str">
        <f>IFERROR(__xludf.DUMMYFUNCTION("""COMPUTED_VALUE"""),"Basic")</f>
        <v>Basic</v>
      </c>
      <c r="L105" s="6">
        <f>IFERROR(__xludf.DUMMYFUNCTION("""COMPUTED_VALUE"""),0.0)</f>
        <v>0</v>
      </c>
      <c r="M105" s="6" t="str">
        <f>IFERROR(__xludf.DUMMYFUNCTION("""COMPUTED_VALUE"""),"2023-10")</f>
        <v>2023-10</v>
      </c>
    </row>
    <row r="106">
      <c r="A106" s="6" t="str">
        <f>IFERROR(__xludf.DUMMYFUNCTION("""COMPUTED_VALUE"""),"265bda70-9559-47b1-918f-5a8c8dab74d2")</f>
        <v>265bda70-9559-47b1-918f-5a8c8dab74d2</v>
      </c>
      <c r="B106" s="6" t="str">
        <f>IFERROR(__xludf.DUMMYFUNCTION("""COMPUTED_VALUE"""),"29aa707e-fa35-4a89-81ac-e41c3d950d63")</f>
        <v>29aa707e-fa35-4a89-81ac-e41c3d950d63</v>
      </c>
      <c r="C106" s="7">
        <f>IFERROR(__xludf.DUMMYFUNCTION("""COMPUTED_VALUE"""),45285.0)</f>
        <v>45285</v>
      </c>
      <c r="D106" s="8">
        <f>IFERROR(__xludf.DUMMYFUNCTION("""COMPUTED_VALUE"""),1.3449803E7)</f>
        <v>13449803</v>
      </c>
      <c r="E106" s="6" t="str">
        <f>IFERROR(__xludf.DUMMYFUNCTION("""COMPUTED_VALUE"""),"MOVIE")</f>
        <v>MOVIE</v>
      </c>
      <c r="F106" s="6" t="str">
        <f>IFERROR(__xludf.DUMMYFUNCTION("""COMPUTED_VALUE"""),"Sci-Fi")</f>
        <v>Sci-Fi</v>
      </c>
      <c r="G106" s="6">
        <f>IFERROR(__xludf.DUMMYFUNCTION("""COMPUTED_VALUE"""),15.0)</f>
        <v>15</v>
      </c>
      <c r="H106" s="6">
        <f>IFERROR(__xludf.DUMMYFUNCTION("""COMPUTED_VALUE"""),1.0)</f>
        <v>1</v>
      </c>
      <c r="I106" s="6" t="str">
        <f>IFERROR(__xludf.DUMMYFUNCTION("""COMPUTED_VALUE"""),"Desktop")</f>
        <v>Desktop</v>
      </c>
      <c r="J106" s="6" t="str">
        <f>IFERROR(__xludf.DUMMYFUNCTION("""COMPUTED_VALUE"""),"Uk")</f>
        <v>Uk</v>
      </c>
      <c r="K106" s="6" t="str">
        <f>IFERROR(__xludf.DUMMYFUNCTION("""COMPUTED_VALUE"""),"Standard")</f>
        <v>Standard</v>
      </c>
      <c r="L106" s="6">
        <f>IFERROR(__xludf.DUMMYFUNCTION("""COMPUTED_VALUE"""),1.0)</f>
        <v>1</v>
      </c>
      <c r="M106" s="6" t="str">
        <f>IFERROR(__xludf.DUMMYFUNCTION("""COMPUTED_VALUE"""),"2023-12")</f>
        <v>2023-12</v>
      </c>
    </row>
    <row r="107">
      <c r="A107" s="6" t="str">
        <f>IFERROR(__xludf.DUMMYFUNCTION("""COMPUTED_VALUE"""),"6a02ec75-2028-432f-9a0e-de79d3f03d51")</f>
        <v>6a02ec75-2028-432f-9a0e-de79d3f03d51</v>
      </c>
      <c r="B107" s="6" t="str">
        <f>IFERROR(__xludf.DUMMYFUNCTION("""COMPUTED_VALUE"""),"2a2f9f8d-350e-48a6-b10e-2820d3466d5f")</f>
        <v>2a2f9f8d-350e-48a6-b10e-2820d3466d5f</v>
      </c>
      <c r="C107" s="7">
        <f>IFERROR(__xludf.DUMMYFUNCTION("""COMPUTED_VALUE"""),45137.0)</f>
        <v>45137</v>
      </c>
      <c r="D107" s="8">
        <f>IFERROR(__xludf.DUMMYFUNCTION("""COMPUTED_VALUE"""),4.4567255E7)</f>
        <v>44567255</v>
      </c>
      <c r="E107" s="6" t="str">
        <f>IFERROR(__xludf.DUMMYFUNCTION("""COMPUTED_VALUE"""),"DOCUMENTARY")</f>
        <v>DOCUMENTARY</v>
      </c>
      <c r="F107" s="6" t="str">
        <f>IFERROR(__xludf.DUMMYFUNCTION("""COMPUTED_VALUE"""),"Thriller")</f>
        <v>Thriller</v>
      </c>
      <c r="G107" s="6">
        <f>IFERROR(__xludf.DUMMYFUNCTION("""COMPUTED_VALUE"""),80.0)</f>
        <v>80</v>
      </c>
      <c r="H107" s="6">
        <f>IFERROR(__xludf.DUMMYFUNCTION("""COMPUTED_VALUE"""),1.0)</f>
        <v>1</v>
      </c>
      <c r="I107" s="6" t="str">
        <f>IFERROR(__xludf.DUMMYFUNCTION("""COMPUTED_VALUE"""),"Desktop")</f>
        <v>Desktop</v>
      </c>
      <c r="J107" s="6" t="str">
        <f>IFERROR(__xludf.DUMMYFUNCTION("""COMPUTED_VALUE"""),"Uk")</f>
        <v>Uk</v>
      </c>
      <c r="K107" s="6" t="str">
        <f>IFERROR(__xludf.DUMMYFUNCTION("""COMPUTED_VALUE"""),"Premium")</f>
        <v>Premium</v>
      </c>
      <c r="L107" s="6">
        <f>IFERROR(__xludf.DUMMYFUNCTION("""COMPUTED_VALUE"""),0.0)</f>
        <v>0</v>
      </c>
      <c r="M107" s="6" t="str">
        <f>IFERROR(__xludf.DUMMYFUNCTION("""COMPUTED_VALUE"""),"2023-07")</f>
        <v>2023-07</v>
      </c>
    </row>
    <row r="108">
      <c r="A108" s="6" t="str">
        <f>IFERROR(__xludf.DUMMYFUNCTION("""COMPUTED_VALUE"""),"52a868bd-a110-4cd1-9d49-1cef95365c08")</f>
        <v>52a868bd-a110-4cd1-9d49-1cef95365c08</v>
      </c>
      <c r="B108" s="6" t="str">
        <f>IFERROR(__xludf.DUMMYFUNCTION("""COMPUTED_VALUE"""),"2a8bc6f6-9f66-4919-9832-91be68522a8b")</f>
        <v>2a8bc6f6-9f66-4919-9832-91be68522a8b</v>
      </c>
      <c r="C108" s="7">
        <f>IFERROR(__xludf.DUMMYFUNCTION("""COMPUTED_VALUE"""),45058.0)</f>
        <v>45058</v>
      </c>
      <c r="D108" s="8">
        <f>IFERROR(__xludf.DUMMYFUNCTION("""COMPUTED_VALUE"""),485241.0)</f>
        <v>485241</v>
      </c>
      <c r="E108" s="6" t="str">
        <f>IFERROR(__xludf.DUMMYFUNCTION("""COMPUTED_VALUE"""),"MOVIE")</f>
        <v>MOVIE</v>
      </c>
      <c r="F108" s="6" t="str">
        <f>IFERROR(__xludf.DUMMYFUNCTION("""COMPUTED_VALUE"""),"Comedy")</f>
        <v>Comedy</v>
      </c>
      <c r="G108" s="6">
        <f>IFERROR(__xludf.DUMMYFUNCTION("""COMPUTED_VALUE"""),109.0)</f>
        <v>109</v>
      </c>
      <c r="H108" s="6">
        <f>IFERROR(__xludf.DUMMYFUNCTION("""COMPUTED_VALUE"""),1.0)</f>
        <v>1</v>
      </c>
      <c r="I108" s="6" t="str">
        <f>IFERROR(__xludf.DUMMYFUNCTION("""COMPUTED_VALUE"""),"Mobile")</f>
        <v>Mobile</v>
      </c>
      <c r="J108" s="6" t="str">
        <f>IFERROR(__xludf.DUMMYFUNCTION("""COMPUTED_VALUE"""),"France")</f>
        <v>France</v>
      </c>
      <c r="K108" s="6" t="str">
        <f>IFERROR(__xludf.DUMMYFUNCTION("""COMPUTED_VALUE"""),"Basic")</f>
        <v>Basic</v>
      </c>
      <c r="L108" s="6">
        <f>IFERROR(__xludf.DUMMYFUNCTION("""COMPUTED_VALUE"""),0.0)</f>
        <v>0</v>
      </c>
      <c r="M108" s="6" t="str">
        <f>IFERROR(__xludf.DUMMYFUNCTION("""COMPUTED_VALUE"""),"2023-05")</f>
        <v>2023-05</v>
      </c>
    </row>
    <row r="109">
      <c r="A109" s="6" t="str">
        <f>IFERROR(__xludf.DUMMYFUNCTION("""COMPUTED_VALUE"""),"a28ab605-5dbd-4c9a-8175-47886d7f362d")</f>
        <v>a28ab605-5dbd-4c9a-8175-47886d7f362d</v>
      </c>
      <c r="B109" s="6" t="str">
        <f>IFERROR(__xludf.DUMMYFUNCTION("""COMPUTED_VALUE"""),"2b3d5826-28c4-4706-814a-c07f596803e9")</f>
        <v>2b3d5826-28c4-4706-814a-c07f596803e9</v>
      </c>
      <c r="C109" s="7">
        <f>IFERROR(__xludf.DUMMYFUNCTION("""COMPUTED_VALUE"""),44998.0)</f>
        <v>44998</v>
      </c>
      <c r="D109" s="8">
        <f>IFERROR(__xludf.DUMMYFUNCTION("""COMPUTED_VALUE"""),7027314.0)</f>
        <v>7027314</v>
      </c>
      <c r="E109" s="6" t="str">
        <f>IFERROR(__xludf.DUMMYFUNCTION("""COMPUTED_VALUE"""),"SERIES")</f>
        <v>SERIES</v>
      </c>
      <c r="F109" s="6" t="str">
        <f>IFERROR(__xludf.DUMMYFUNCTION("""COMPUTED_VALUE"""),"Action")</f>
        <v>Action</v>
      </c>
      <c r="G109" s="6">
        <f>IFERROR(__xludf.DUMMYFUNCTION("""COMPUTED_VALUE"""),156.0)</f>
        <v>156</v>
      </c>
      <c r="H109" s="6">
        <f>IFERROR(__xludf.DUMMYFUNCTION("""COMPUTED_VALUE"""),1.0)</f>
        <v>1</v>
      </c>
      <c r="I109" s="6" t="str">
        <f>IFERROR(__xludf.DUMMYFUNCTION("""COMPUTED_VALUE"""),"Desktop")</f>
        <v>Desktop</v>
      </c>
      <c r="J109" s="6" t="str">
        <f>IFERROR(__xludf.DUMMYFUNCTION("""COMPUTED_VALUE"""),"France")</f>
        <v>France</v>
      </c>
      <c r="K109" s="6" t="str">
        <f>IFERROR(__xludf.DUMMYFUNCTION("""COMPUTED_VALUE"""),"Basic")</f>
        <v>Basic</v>
      </c>
      <c r="L109" s="6">
        <f>IFERROR(__xludf.DUMMYFUNCTION("""COMPUTED_VALUE"""),0.0)</f>
        <v>0</v>
      </c>
      <c r="M109" s="6" t="str">
        <f>IFERROR(__xludf.DUMMYFUNCTION("""COMPUTED_VALUE"""),"2023-03")</f>
        <v>2023-03</v>
      </c>
    </row>
    <row r="110">
      <c r="A110" s="6" t="str">
        <f>IFERROR(__xludf.DUMMYFUNCTION("""COMPUTED_VALUE"""),"e74c987c-f551-4bcd-af99-17209203d693")</f>
        <v>e74c987c-f551-4bcd-af99-17209203d693</v>
      </c>
      <c r="B110" s="6" t="str">
        <f>IFERROR(__xludf.DUMMYFUNCTION("""COMPUTED_VALUE"""),"2ba0596e-c136-4785-a158-5231ab2ee868")</f>
        <v>2ba0596e-c136-4785-a158-5231ab2ee868</v>
      </c>
      <c r="C110" s="7">
        <f>IFERROR(__xludf.DUMMYFUNCTION("""COMPUTED_VALUE"""),45250.0)</f>
        <v>45250</v>
      </c>
      <c r="D110" s="8">
        <f>IFERROR(__xludf.DUMMYFUNCTION("""COMPUTED_VALUE"""),4.1408353E7)</f>
        <v>41408353</v>
      </c>
      <c r="E110" s="6" t="str">
        <f>IFERROR(__xludf.DUMMYFUNCTION("""COMPUTED_VALUE"""),"SERIES")</f>
        <v>SERIES</v>
      </c>
      <c r="F110" s="6" t="str">
        <f>IFERROR(__xludf.DUMMYFUNCTION("""COMPUTED_VALUE"""),"Action")</f>
        <v>Action</v>
      </c>
      <c r="G110" s="6">
        <f>IFERROR(__xludf.DUMMYFUNCTION("""COMPUTED_VALUE"""),142.0)</f>
        <v>142</v>
      </c>
      <c r="H110" s="6">
        <f>IFERROR(__xludf.DUMMYFUNCTION("""COMPUTED_VALUE"""),0.0)</f>
        <v>0</v>
      </c>
      <c r="I110" s="6" t="str">
        <f>IFERROR(__xludf.DUMMYFUNCTION("""COMPUTED_VALUE"""),"Tablet")</f>
        <v>Tablet</v>
      </c>
      <c r="J110" s="6" t="str">
        <f>IFERROR(__xludf.DUMMYFUNCTION("""COMPUTED_VALUE"""),"Usa")</f>
        <v>Usa</v>
      </c>
      <c r="K110" s="6" t="str">
        <f>IFERROR(__xludf.DUMMYFUNCTION("""COMPUTED_VALUE"""),"Premium")</f>
        <v>Premium</v>
      </c>
      <c r="L110" s="6">
        <f>IFERROR(__xludf.DUMMYFUNCTION("""COMPUTED_VALUE"""),0.0)</f>
        <v>0</v>
      </c>
      <c r="M110" s="6" t="str">
        <f>IFERROR(__xludf.DUMMYFUNCTION("""COMPUTED_VALUE"""),"2023-11")</f>
        <v>2023-11</v>
      </c>
    </row>
    <row r="111">
      <c r="A111" s="6" t="str">
        <f>IFERROR(__xludf.DUMMYFUNCTION("""COMPUTED_VALUE"""),"51f77d24-9d0c-48c8-9893-7f51bb279fa3")</f>
        <v>51f77d24-9d0c-48c8-9893-7f51bb279fa3</v>
      </c>
      <c r="B111" s="6" t="str">
        <f>IFERROR(__xludf.DUMMYFUNCTION("""COMPUTED_VALUE"""),"2bd918ed-e1e6-434c-84e0-35a89966aa48")</f>
        <v>2bd918ed-e1e6-434c-84e0-35a89966aa48</v>
      </c>
      <c r="C111" s="7">
        <f>IFERROR(__xludf.DUMMYFUNCTION("""COMPUTED_VALUE"""),45274.0)</f>
        <v>45274</v>
      </c>
      <c r="D111" s="8">
        <f>IFERROR(__xludf.DUMMYFUNCTION("""COMPUTED_VALUE"""),9.0506574E7)</f>
        <v>90506574</v>
      </c>
      <c r="E111" s="6" t="str">
        <f>IFERROR(__xludf.DUMMYFUNCTION("""COMPUTED_VALUE"""),"SERIES")</f>
        <v>SERIES</v>
      </c>
      <c r="F111" s="6" t="str">
        <f>IFERROR(__xludf.DUMMYFUNCTION("""COMPUTED_VALUE"""),"Sci-Fi")</f>
        <v>Sci-Fi</v>
      </c>
      <c r="G111" s="6">
        <f>IFERROR(__xludf.DUMMYFUNCTION("""COMPUTED_VALUE"""),124.0)</f>
        <v>124</v>
      </c>
      <c r="H111" s="6">
        <f>IFERROR(__xludf.DUMMYFUNCTION("""COMPUTED_VALUE"""),0.0)</f>
        <v>0</v>
      </c>
      <c r="I111" s="6" t="str">
        <f>IFERROR(__xludf.DUMMYFUNCTION("""COMPUTED_VALUE"""),"Smart Tv")</f>
        <v>Smart Tv</v>
      </c>
      <c r="J111" s="6" t="str">
        <f>IFERROR(__xludf.DUMMYFUNCTION("""COMPUTED_VALUE"""),"Germany")</f>
        <v>Germany</v>
      </c>
      <c r="K111" s="6" t="str">
        <f>IFERROR(__xludf.DUMMYFUNCTION("""COMPUTED_VALUE"""),"Standard")</f>
        <v>Standard</v>
      </c>
      <c r="L111" s="6">
        <f>IFERROR(__xludf.DUMMYFUNCTION("""COMPUTED_VALUE"""),1.0)</f>
        <v>1</v>
      </c>
      <c r="M111" s="6" t="str">
        <f>IFERROR(__xludf.DUMMYFUNCTION("""COMPUTED_VALUE"""),"2023-12")</f>
        <v>2023-12</v>
      </c>
    </row>
    <row r="112">
      <c r="A112" s="6" t="str">
        <f>IFERROR(__xludf.DUMMYFUNCTION("""COMPUTED_VALUE"""),"561e9d96-315d-48d4-83fa-6c59a9e80538")</f>
        <v>561e9d96-315d-48d4-83fa-6c59a9e80538</v>
      </c>
      <c r="B112" s="6" t="str">
        <f>IFERROR(__xludf.DUMMYFUNCTION("""COMPUTED_VALUE"""),"2ccc4493-93e8-4944-beef-9915ded12f26")</f>
        <v>2ccc4493-93e8-4944-beef-9915ded12f26</v>
      </c>
      <c r="C112" s="7">
        <f>IFERROR(__xludf.DUMMYFUNCTION("""COMPUTED_VALUE"""),44994.0)</f>
        <v>44994</v>
      </c>
      <c r="D112" s="8">
        <f>IFERROR(__xludf.DUMMYFUNCTION("""COMPUTED_VALUE"""),7.7474834E7)</f>
        <v>77474834</v>
      </c>
      <c r="E112" s="6" t="str">
        <f>IFERROR(__xludf.DUMMYFUNCTION("""COMPUTED_VALUE"""),"SERIES")</f>
        <v>SERIES</v>
      </c>
      <c r="F112" s="6" t="str">
        <f>IFERROR(__xludf.DUMMYFUNCTION("""COMPUTED_VALUE"""),"Sci-Fi")</f>
        <v>Sci-Fi</v>
      </c>
      <c r="G112" s="6">
        <f>IFERROR(__xludf.DUMMYFUNCTION("""COMPUTED_VALUE"""),130.0)</f>
        <v>130</v>
      </c>
      <c r="H112" s="6">
        <f>IFERROR(__xludf.DUMMYFUNCTION("""COMPUTED_VALUE"""),1.0)</f>
        <v>1</v>
      </c>
      <c r="I112" s="6" t="str">
        <f>IFERROR(__xludf.DUMMYFUNCTION("""COMPUTED_VALUE"""),"Tablet")</f>
        <v>Tablet</v>
      </c>
      <c r="J112" s="6" t="str">
        <f>IFERROR(__xludf.DUMMYFUNCTION("""COMPUTED_VALUE"""),"Uk")</f>
        <v>Uk</v>
      </c>
      <c r="K112" s="6" t="str">
        <f>IFERROR(__xludf.DUMMYFUNCTION("""COMPUTED_VALUE"""),"Standard")</f>
        <v>Standard</v>
      </c>
      <c r="L112" s="6">
        <f>IFERROR(__xludf.DUMMYFUNCTION("""COMPUTED_VALUE"""),0.0)</f>
        <v>0</v>
      </c>
      <c r="M112" s="6" t="str">
        <f>IFERROR(__xludf.DUMMYFUNCTION("""COMPUTED_VALUE"""),"2023-03")</f>
        <v>2023-03</v>
      </c>
    </row>
    <row r="113">
      <c r="A113" s="6" t="str">
        <f>IFERROR(__xludf.DUMMYFUNCTION("""COMPUTED_VALUE"""),"4c781201-e41e-4111-b4cf-cb940c89f318")</f>
        <v>4c781201-e41e-4111-b4cf-cb940c89f318</v>
      </c>
      <c r="B113" s="6" t="str">
        <f>IFERROR(__xludf.DUMMYFUNCTION("""COMPUTED_VALUE"""),"2d0c6ef6-c3b0-4b23-8870-78d98f334ba7")</f>
        <v>2d0c6ef6-c3b0-4b23-8870-78d98f334ba7</v>
      </c>
      <c r="C113" s="7">
        <f>IFERROR(__xludf.DUMMYFUNCTION("""COMPUTED_VALUE"""),45094.0)</f>
        <v>45094</v>
      </c>
      <c r="D113" s="8">
        <f>IFERROR(__xludf.DUMMYFUNCTION("""COMPUTED_VALUE"""),8.1218684E7)</f>
        <v>81218684</v>
      </c>
      <c r="E113" s="6" t="str">
        <f>IFERROR(__xludf.DUMMYFUNCTION("""COMPUTED_VALUE"""),"MOVIE")</f>
        <v>MOVIE</v>
      </c>
      <c r="F113" s="6" t="str">
        <f>IFERROR(__xludf.DUMMYFUNCTION("""COMPUTED_VALUE"""),"Sci-Fi")</f>
        <v>Sci-Fi</v>
      </c>
      <c r="G113" s="6">
        <f>IFERROR(__xludf.DUMMYFUNCTION("""COMPUTED_VALUE"""),8.0)</f>
        <v>8</v>
      </c>
      <c r="H113" s="6">
        <f>IFERROR(__xludf.DUMMYFUNCTION("""COMPUTED_VALUE"""),1.0)</f>
        <v>1</v>
      </c>
      <c r="I113" s="6" t="str">
        <f>IFERROR(__xludf.DUMMYFUNCTION("""COMPUTED_VALUE"""),"Tablet")</f>
        <v>Tablet</v>
      </c>
      <c r="J113" s="6" t="str">
        <f>IFERROR(__xludf.DUMMYFUNCTION("""COMPUTED_VALUE"""),"Usa")</f>
        <v>Usa</v>
      </c>
      <c r="K113" s="6" t="str">
        <f>IFERROR(__xludf.DUMMYFUNCTION("""COMPUTED_VALUE"""),"Standard")</f>
        <v>Standard</v>
      </c>
      <c r="L113" s="6">
        <f>IFERROR(__xludf.DUMMYFUNCTION("""COMPUTED_VALUE"""),0.0)</f>
        <v>0</v>
      </c>
      <c r="M113" s="6" t="str">
        <f>IFERROR(__xludf.DUMMYFUNCTION("""COMPUTED_VALUE"""),"2023-06")</f>
        <v>2023-06</v>
      </c>
    </row>
    <row r="114">
      <c r="A114" s="6" t="str">
        <f>IFERROR(__xludf.DUMMYFUNCTION("""COMPUTED_VALUE"""),"491082d3-ac27-4cc7-96e9-68a3e02856bd")</f>
        <v>491082d3-ac27-4cc7-96e9-68a3e02856bd</v>
      </c>
      <c r="B114" s="6" t="str">
        <f>IFERROR(__xludf.DUMMYFUNCTION("""COMPUTED_VALUE"""),"2e58dc87-d9a5-471e-a5be-0c183a8e64ee")</f>
        <v>2e58dc87-d9a5-471e-a5be-0c183a8e64ee</v>
      </c>
      <c r="C114" s="7">
        <f>IFERROR(__xludf.DUMMYFUNCTION("""COMPUTED_VALUE"""),44989.0)</f>
        <v>44989</v>
      </c>
      <c r="D114" s="8">
        <f>IFERROR(__xludf.DUMMYFUNCTION("""COMPUTED_VALUE"""),2.9423446E7)</f>
        <v>29423446</v>
      </c>
      <c r="E114" s="6" t="str">
        <f>IFERROR(__xludf.DUMMYFUNCTION("""COMPUTED_VALUE"""),"MOVIE")</f>
        <v>MOVIE</v>
      </c>
      <c r="F114" s="6" t="str">
        <f>IFERROR(__xludf.DUMMYFUNCTION("""COMPUTED_VALUE"""),"Comedy")</f>
        <v>Comedy</v>
      </c>
      <c r="G114" s="6">
        <f>IFERROR(__xludf.DUMMYFUNCTION("""COMPUTED_VALUE"""),42.0)</f>
        <v>42</v>
      </c>
      <c r="H114" s="6">
        <f>IFERROR(__xludf.DUMMYFUNCTION("""COMPUTED_VALUE"""),1.0)</f>
        <v>1</v>
      </c>
      <c r="I114" s="6" t="str">
        <f>IFERROR(__xludf.DUMMYFUNCTION("""COMPUTED_VALUE"""),"Smart Tv")</f>
        <v>Smart Tv</v>
      </c>
      <c r="J114" s="6" t="str">
        <f>IFERROR(__xludf.DUMMYFUNCTION("""COMPUTED_VALUE"""),"India")</f>
        <v>India</v>
      </c>
      <c r="K114" s="6" t="str">
        <f>IFERROR(__xludf.DUMMYFUNCTION("""COMPUTED_VALUE"""),"Premium")</f>
        <v>Premium</v>
      </c>
      <c r="L114" s="6">
        <f>IFERROR(__xludf.DUMMYFUNCTION("""COMPUTED_VALUE"""),0.0)</f>
        <v>0</v>
      </c>
      <c r="M114" s="6" t="str">
        <f>IFERROR(__xludf.DUMMYFUNCTION("""COMPUTED_VALUE"""),"2023-03")</f>
        <v>2023-03</v>
      </c>
    </row>
    <row r="115">
      <c r="A115" s="6" t="str">
        <f>IFERROR(__xludf.DUMMYFUNCTION("""COMPUTED_VALUE"""),"ed0a3614-1575-4246-a7db-b858bc2ea7ff")</f>
        <v>ed0a3614-1575-4246-a7db-b858bc2ea7ff</v>
      </c>
      <c r="B115" s="6" t="str">
        <f>IFERROR(__xludf.DUMMYFUNCTION("""COMPUTED_VALUE"""),"2e6d25bd-f0d8-4998-ad70-b34ee0d0289b")</f>
        <v>2e6d25bd-f0d8-4998-ad70-b34ee0d0289b</v>
      </c>
      <c r="C115" s="7">
        <f>IFERROR(__xludf.DUMMYFUNCTION("""COMPUTED_VALUE"""),45262.0)</f>
        <v>45262</v>
      </c>
      <c r="D115" s="8">
        <f>IFERROR(__xludf.DUMMYFUNCTION("""COMPUTED_VALUE"""),3791097.0)</f>
        <v>3791097</v>
      </c>
      <c r="E115" s="6" t="str">
        <f>IFERROR(__xludf.DUMMYFUNCTION("""COMPUTED_VALUE"""),"SERIES")</f>
        <v>SERIES</v>
      </c>
      <c r="F115" s="6" t="str">
        <f>IFERROR(__xludf.DUMMYFUNCTION("""COMPUTED_VALUE"""),"Thriller")</f>
        <v>Thriller</v>
      </c>
      <c r="G115" s="6">
        <f>IFERROR(__xludf.DUMMYFUNCTION("""COMPUTED_VALUE"""),79.0)</f>
        <v>79</v>
      </c>
      <c r="H115" s="6">
        <f>IFERROR(__xludf.DUMMYFUNCTION("""COMPUTED_VALUE"""),1.0)</f>
        <v>1</v>
      </c>
      <c r="I115" s="6" t="str">
        <f>IFERROR(__xludf.DUMMYFUNCTION("""COMPUTED_VALUE"""),"Desktop")</f>
        <v>Desktop</v>
      </c>
      <c r="J115" s="6" t="str">
        <f>IFERROR(__xludf.DUMMYFUNCTION("""COMPUTED_VALUE"""),"India")</f>
        <v>India</v>
      </c>
      <c r="K115" s="6" t="str">
        <f>IFERROR(__xludf.DUMMYFUNCTION("""COMPUTED_VALUE"""),"Basic")</f>
        <v>Basic</v>
      </c>
      <c r="L115" s="6">
        <f>IFERROR(__xludf.DUMMYFUNCTION("""COMPUTED_VALUE"""),0.0)</f>
        <v>0</v>
      </c>
      <c r="M115" s="6" t="str">
        <f>IFERROR(__xludf.DUMMYFUNCTION("""COMPUTED_VALUE"""),"2023-12")</f>
        <v>2023-12</v>
      </c>
    </row>
    <row r="116">
      <c r="A116" s="6" t="str">
        <f>IFERROR(__xludf.DUMMYFUNCTION("""COMPUTED_VALUE"""),"8fc7301c-e0a8-4395-bd8d-2a1e4d5880e0")</f>
        <v>8fc7301c-e0a8-4395-bd8d-2a1e4d5880e0</v>
      </c>
      <c r="B116" s="6" t="str">
        <f>IFERROR(__xludf.DUMMYFUNCTION("""COMPUTED_VALUE"""),"2eb41e57-175c-4e41-8512-62d4cf6f643a")</f>
        <v>2eb41e57-175c-4e41-8512-62d4cf6f643a</v>
      </c>
      <c r="C116" s="7">
        <f>IFERROR(__xludf.DUMMYFUNCTION("""COMPUTED_VALUE"""),45078.0)</f>
        <v>45078</v>
      </c>
      <c r="D116" s="8">
        <f>IFERROR(__xludf.DUMMYFUNCTION("""COMPUTED_VALUE"""),6.6984726E7)</f>
        <v>66984726</v>
      </c>
      <c r="E116" s="6" t="str">
        <f>IFERROR(__xludf.DUMMYFUNCTION("""COMPUTED_VALUE"""),"MOVIE")</f>
        <v>MOVIE</v>
      </c>
      <c r="F116" s="6" t="str">
        <f>IFERROR(__xludf.DUMMYFUNCTION("""COMPUTED_VALUE"""),"Drama")</f>
        <v>Drama</v>
      </c>
      <c r="G116" s="6">
        <f>IFERROR(__xludf.DUMMYFUNCTION("""COMPUTED_VALUE"""),130.0)</f>
        <v>130</v>
      </c>
      <c r="H116" s="6">
        <f>IFERROR(__xludf.DUMMYFUNCTION("""COMPUTED_VALUE"""),0.0)</f>
        <v>0</v>
      </c>
      <c r="I116" s="6" t="str">
        <f>IFERROR(__xludf.DUMMYFUNCTION("""COMPUTED_VALUE"""),"Mobile")</f>
        <v>Mobile</v>
      </c>
      <c r="J116" s="6" t="str">
        <f>IFERROR(__xludf.DUMMYFUNCTION("""COMPUTED_VALUE"""),"Germany")</f>
        <v>Germany</v>
      </c>
      <c r="K116" s="6" t="str">
        <f>IFERROR(__xludf.DUMMYFUNCTION("""COMPUTED_VALUE"""),"Standard")</f>
        <v>Standard</v>
      </c>
      <c r="L116" s="6">
        <f>IFERROR(__xludf.DUMMYFUNCTION("""COMPUTED_VALUE"""),0.0)</f>
        <v>0</v>
      </c>
      <c r="M116" s="6" t="str">
        <f>IFERROR(__xludf.DUMMYFUNCTION("""COMPUTED_VALUE"""),"2023-06")</f>
        <v>2023-06</v>
      </c>
    </row>
    <row r="117">
      <c r="A117" s="6" t="str">
        <f>IFERROR(__xludf.DUMMYFUNCTION("""COMPUTED_VALUE"""),"c9e51944-73dc-4c48-a41e-c93502a923d9")</f>
        <v>c9e51944-73dc-4c48-a41e-c93502a923d9</v>
      </c>
      <c r="B117" s="6" t="str">
        <f>IFERROR(__xludf.DUMMYFUNCTION("""COMPUTED_VALUE"""),"2ef1fbb6-20ee-4327-b996-961034dea397")</f>
        <v>2ef1fbb6-20ee-4327-b996-961034dea397</v>
      </c>
      <c r="C117" s="7">
        <f>IFERROR(__xludf.DUMMYFUNCTION("""COMPUTED_VALUE"""),45093.0)</f>
        <v>45093</v>
      </c>
      <c r="D117" s="8">
        <f>IFERROR(__xludf.DUMMYFUNCTION("""COMPUTED_VALUE"""),3.0867406E7)</f>
        <v>30867406</v>
      </c>
      <c r="E117" s="6" t="str">
        <f>IFERROR(__xludf.DUMMYFUNCTION("""COMPUTED_VALUE"""),"SERIES")</f>
        <v>SERIES</v>
      </c>
      <c r="F117" s="6" t="str">
        <f>IFERROR(__xludf.DUMMYFUNCTION("""COMPUTED_VALUE"""),"Sci-Fi")</f>
        <v>Sci-Fi</v>
      </c>
      <c r="G117" s="6">
        <f>IFERROR(__xludf.DUMMYFUNCTION("""COMPUTED_VALUE"""),137.0)</f>
        <v>137</v>
      </c>
      <c r="H117" s="6">
        <f>IFERROR(__xludf.DUMMYFUNCTION("""COMPUTED_VALUE"""),0.0)</f>
        <v>0</v>
      </c>
      <c r="I117" s="6" t="str">
        <f>IFERROR(__xludf.DUMMYFUNCTION("""COMPUTED_VALUE"""),"Tablet")</f>
        <v>Tablet</v>
      </c>
      <c r="J117" s="6" t="str">
        <f>IFERROR(__xludf.DUMMYFUNCTION("""COMPUTED_VALUE"""),"France")</f>
        <v>France</v>
      </c>
      <c r="K117" s="6" t="str">
        <f>IFERROR(__xludf.DUMMYFUNCTION("""COMPUTED_VALUE"""),"Standard")</f>
        <v>Standard</v>
      </c>
      <c r="L117" s="6">
        <f>IFERROR(__xludf.DUMMYFUNCTION("""COMPUTED_VALUE"""),0.0)</f>
        <v>0</v>
      </c>
      <c r="M117" s="6" t="str">
        <f>IFERROR(__xludf.DUMMYFUNCTION("""COMPUTED_VALUE"""),"2023-06")</f>
        <v>2023-06</v>
      </c>
    </row>
    <row r="118">
      <c r="A118" s="6" t="str">
        <f>IFERROR(__xludf.DUMMYFUNCTION("""COMPUTED_VALUE"""),"7766f556-ce51-4ffc-943d-da2a7bacbd85")</f>
        <v>7766f556-ce51-4ffc-943d-da2a7bacbd85</v>
      </c>
      <c r="B118" s="6" t="str">
        <f>IFERROR(__xludf.DUMMYFUNCTION("""COMPUTED_VALUE"""),"2f4a4da5-3dea-49b8-bf34-bfe34f9ccc04")</f>
        <v>2f4a4da5-3dea-49b8-bf34-bfe34f9ccc04</v>
      </c>
      <c r="C118" s="7">
        <f>IFERROR(__xludf.DUMMYFUNCTION("""COMPUTED_VALUE"""),45159.0)</f>
        <v>45159</v>
      </c>
      <c r="D118" s="8">
        <f>IFERROR(__xludf.DUMMYFUNCTION("""COMPUTED_VALUE"""),1.8053487E7)</f>
        <v>18053487</v>
      </c>
      <c r="E118" s="6" t="str">
        <f>IFERROR(__xludf.DUMMYFUNCTION("""COMPUTED_VALUE"""),"SERIES")</f>
        <v>SERIES</v>
      </c>
      <c r="F118" s="6" t="str">
        <f>IFERROR(__xludf.DUMMYFUNCTION("""COMPUTED_VALUE"""),"Sci-Fi")</f>
        <v>Sci-Fi</v>
      </c>
      <c r="G118" s="6">
        <f>IFERROR(__xludf.DUMMYFUNCTION("""COMPUTED_VALUE"""),135.0)</f>
        <v>135</v>
      </c>
      <c r="H118" s="6">
        <f>IFERROR(__xludf.DUMMYFUNCTION("""COMPUTED_VALUE"""),1.0)</f>
        <v>1</v>
      </c>
      <c r="I118" s="6" t="str">
        <f>IFERROR(__xludf.DUMMYFUNCTION("""COMPUTED_VALUE"""),"Mobile")</f>
        <v>Mobile</v>
      </c>
      <c r="J118" s="6" t="str">
        <f>IFERROR(__xludf.DUMMYFUNCTION("""COMPUTED_VALUE"""),"France")</f>
        <v>France</v>
      </c>
      <c r="K118" s="6" t="str">
        <f>IFERROR(__xludf.DUMMYFUNCTION("""COMPUTED_VALUE"""),"Premium")</f>
        <v>Premium</v>
      </c>
      <c r="L118" s="6">
        <f>IFERROR(__xludf.DUMMYFUNCTION("""COMPUTED_VALUE"""),0.0)</f>
        <v>0</v>
      </c>
      <c r="M118" s="6" t="str">
        <f>IFERROR(__xludf.DUMMYFUNCTION("""COMPUTED_VALUE"""),"2023-08")</f>
        <v>2023-08</v>
      </c>
    </row>
    <row r="119">
      <c r="A119" s="6" t="str">
        <f>IFERROR(__xludf.DUMMYFUNCTION("""COMPUTED_VALUE"""),"871d7732-882f-474a-92f7-83b1b2540830")</f>
        <v>871d7732-882f-474a-92f7-83b1b2540830</v>
      </c>
      <c r="B119" s="6" t="str">
        <f>IFERROR(__xludf.DUMMYFUNCTION("""COMPUTED_VALUE"""),"2f5974c3-97aa-41a3-8141-56b585021f59")</f>
        <v>2f5974c3-97aa-41a3-8141-56b585021f59</v>
      </c>
      <c r="C119" s="7">
        <f>IFERROR(__xludf.DUMMYFUNCTION("""COMPUTED_VALUE"""),45207.0)</f>
        <v>45207</v>
      </c>
      <c r="D119" s="8">
        <f>IFERROR(__xludf.DUMMYFUNCTION("""COMPUTED_VALUE"""),2.6627328E7)</f>
        <v>26627328</v>
      </c>
      <c r="E119" s="6" t="str">
        <f>IFERROR(__xludf.DUMMYFUNCTION("""COMPUTED_VALUE"""),"MOVIE")</f>
        <v>MOVIE</v>
      </c>
      <c r="F119" s="6" t="str">
        <f>IFERROR(__xludf.DUMMYFUNCTION("""COMPUTED_VALUE"""),"Sci-Fi")</f>
        <v>Sci-Fi</v>
      </c>
      <c r="G119" s="6">
        <f>IFERROR(__xludf.DUMMYFUNCTION("""COMPUTED_VALUE"""),146.0)</f>
        <v>146</v>
      </c>
      <c r="H119" s="6">
        <f>IFERROR(__xludf.DUMMYFUNCTION("""COMPUTED_VALUE"""),1.0)</f>
        <v>1</v>
      </c>
      <c r="I119" s="6" t="str">
        <f>IFERROR(__xludf.DUMMYFUNCTION("""COMPUTED_VALUE"""),"Tablet")</f>
        <v>Tablet</v>
      </c>
      <c r="J119" s="6" t="str">
        <f>IFERROR(__xludf.DUMMYFUNCTION("""COMPUTED_VALUE"""),"Usa")</f>
        <v>Usa</v>
      </c>
      <c r="K119" s="6" t="str">
        <f>IFERROR(__xludf.DUMMYFUNCTION("""COMPUTED_VALUE"""),"Premium")</f>
        <v>Premium</v>
      </c>
      <c r="L119" s="6">
        <f>IFERROR(__xludf.DUMMYFUNCTION("""COMPUTED_VALUE"""),0.0)</f>
        <v>0</v>
      </c>
      <c r="M119" s="6" t="str">
        <f>IFERROR(__xludf.DUMMYFUNCTION("""COMPUTED_VALUE"""),"2023-10")</f>
        <v>2023-10</v>
      </c>
    </row>
    <row r="120">
      <c r="A120" s="6" t="str">
        <f>IFERROR(__xludf.DUMMYFUNCTION("""COMPUTED_VALUE"""),"495c15cc-4a8d-4ea1-8e2a-04bd3c1650af")</f>
        <v>495c15cc-4a8d-4ea1-8e2a-04bd3c1650af</v>
      </c>
      <c r="B120" s="6" t="str">
        <f>IFERROR(__xludf.DUMMYFUNCTION("""COMPUTED_VALUE"""),"2f60c8dc-b571-4167-887d-9b9c202c740d")</f>
        <v>2f60c8dc-b571-4167-887d-9b9c202c740d</v>
      </c>
      <c r="C120" s="7">
        <f>IFERROR(__xludf.DUMMYFUNCTION("""COMPUTED_VALUE"""),45098.0)</f>
        <v>45098</v>
      </c>
      <c r="D120" s="8">
        <f>IFERROR(__xludf.DUMMYFUNCTION("""COMPUTED_VALUE"""),5.7016207E7)</f>
        <v>57016207</v>
      </c>
      <c r="E120" s="6" t="str">
        <f>IFERROR(__xludf.DUMMYFUNCTION("""COMPUTED_VALUE"""),"DOCUMENTARY")</f>
        <v>DOCUMENTARY</v>
      </c>
      <c r="F120" s="6" t="str">
        <f>IFERROR(__xludf.DUMMYFUNCTION("""COMPUTED_VALUE"""),"Action")</f>
        <v>Action</v>
      </c>
      <c r="G120" s="6">
        <f>IFERROR(__xludf.DUMMYFUNCTION("""COMPUTED_VALUE"""),150.0)</f>
        <v>150</v>
      </c>
      <c r="H120" s="6">
        <f>IFERROR(__xludf.DUMMYFUNCTION("""COMPUTED_VALUE"""),0.0)</f>
        <v>0</v>
      </c>
      <c r="I120" s="6" t="str">
        <f>IFERROR(__xludf.DUMMYFUNCTION("""COMPUTED_VALUE"""),"Desktop")</f>
        <v>Desktop</v>
      </c>
      <c r="J120" s="6" t="str">
        <f>IFERROR(__xludf.DUMMYFUNCTION("""COMPUTED_VALUE"""),"Usa")</f>
        <v>Usa</v>
      </c>
      <c r="K120" s="6" t="str">
        <f>IFERROR(__xludf.DUMMYFUNCTION("""COMPUTED_VALUE"""),"Basic")</f>
        <v>Basic</v>
      </c>
      <c r="L120" s="6">
        <f>IFERROR(__xludf.DUMMYFUNCTION("""COMPUTED_VALUE"""),0.0)</f>
        <v>0</v>
      </c>
      <c r="M120" s="6" t="str">
        <f>IFERROR(__xludf.DUMMYFUNCTION("""COMPUTED_VALUE"""),"2023-06")</f>
        <v>2023-06</v>
      </c>
    </row>
    <row r="121">
      <c r="A121" s="6" t="str">
        <f>IFERROR(__xludf.DUMMYFUNCTION("""COMPUTED_VALUE"""),"20cf66ad-b674-48c1-b4c8-5b46cc6cac66")</f>
        <v>20cf66ad-b674-48c1-b4c8-5b46cc6cac66</v>
      </c>
      <c r="B121" s="6" t="str">
        <f>IFERROR(__xludf.DUMMYFUNCTION("""COMPUTED_VALUE"""),"327a1ff4-b45b-4d37-9da1-1aa2b5b52170")</f>
        <v>327a1ff4-b45b-4d37-9da1-1aa2b5b52170</v>
      </c>
      <c r="C121" s="7">
        <f>IFERROR(__xludf.DUMMYFUNCTION("""COMPUTED_VALUE"""),45104.0)</f>
        <v>45104</v>
      </c>
      <c r="D121" s="8">
        <f>IFERROR(__xludf.DUMMYFUNCTION("""COMPUTED_VALUE"""),8.8566979E7)</f>
        <v>88566979</v>
      </c>
      <c r="E121" s="6" t="str">
        <f>IFERROR(__xludf.DUMMYFUNCTION("""COMPUTED_VALUE"""),"SERIES")</f>
        <v>SERIES</v>
      </c>
      <c r="F121" s="6" t="str">
        <f>IFERROR(__xludf.DUMMYFUNCTION("""COMPUTED_VALUE"""),"Drama")</f>
        <v>Drama</v>
      </c>
      <c r="G121" s="6">
        <f>IFERROR(__xludf.DUMMYFUNCTION("""COMPUTED_VALUE"""),177.0)</f>
        <v>177</v>
      </c>
      <c r="H121" s="6">
        <f>IFERROR(__xludf.DUMMYFUNCTION("""COMPUTED_VALUE"""),1.0)</f>
        <v>1</v>
      </c>
      <c r="I121" s="6" t="str">
        <f>IFERROR(__xludf.DUMMYFUNCTION("""COMPUTED_VALUE"""),"Tablet")</f>
        <v>Tablet</v>
      </c>
      <c r="J121" s="6" t="str">
        <f>IFERROR(__xludf.DUMMYFUNCTION("""COMPUTED_VALUE"""),"India")</f>
        <v>India</v>
      </c>
      <c r="K121" s="6" t="str">
        <f>IFERROR(__xludf.DUMMYFUNCTION("""COMPUTED_VALUE"""),"Premium")</f>
        <v>Premium</v>
      </c>
      <c r="L121" s="6">
        <f>IFERROR(__xludf.DUMMYFUNCTION("""COMPUTED_VALUE"""),0.0)</f>
        <v>0</v>
      </c>
      <c r="M121" s="6" t="str">
        <f>IFERROR(__xludf.DUMMYFUNCTION("""COMPUTED_VALUE"""),"2023-06")</f>
        <v>2023-06</v>
      </c>
    </row>
    <row r="122">
      <c r="A122" s="6" t="str">
        <f>IFERROR(__xludf.DUMMYFUNCTION("""COMPUTED_VALUE"""),"779f5650-5f62-4f6c-b6e8-2a48f65b74b8")</f>
        <v>779f5650-5f62-4f6c-b6e8-2a48f65b74b8</v>
      </c>
      <c r="B122" s="6" t="str">
        <f>IFERROR(__xludf.DUMMYFUNCTION("""COMPUTED_VALUE"""),"32dfbb79-9223-4b7e-b586-892779cc7c42")</f>
        <v>32dfbb79-9223-4b7e-b586-892779cc7c42</v>
      </c>
      <c r="C122" s="7">
        <f>IFERROR(__xludf.DUMMYFUNCTION("""COMPUTED_VALUE"""),45150.0)</f>
        <v>45150</v>
      </c>
      <c r="D122" s="8">
        <f>IFERROR(__xludf.DUMMYFUNCTION("""COMPUTED_VALUE"""),6613488.0)</f>
        <v>6613488</v>
      </c>
      <c r="E122" s="6" t="str">
        <f>IFERROR(__xludf.DUMMYFUNCTION("""COMPUTED_VALUE"""),"DOCUMENTARY")</f>
        <v>DOCUMENTARY</v>
      </c>
      <c r="F122" s="6" t="str">
        <f>IFERROR(__xludf.DUMMYFUNCTION("""COMPUTED_VALUE"""),"Drama")</f>
        <v>Drama</v>
      </c>
      <c r="G122" s="6">
        <f>IFERROR(__xludf.DUMMYFUNCTION("""COMPUTED_VALUE"""),150.0)</f>
        <v>150</v>
      </c>
      <c r="H122" s="6">
        <f>IFERROR(__xludf.DUMMYFUNCTION("""COMPUTED_VALUE"""),1.0)</f>
        <v>1</v>
      </c>
      <c r="I122" s="6" t="str">
        <f>IFERROR(__xludf.DUMMYFUNCTION("""COMPUTED_VALUE"""),"Smart Tv")</f>
        <v>Smart Tv</v>
      </c>
      <c r="J122" s="6" t="str">
        <f>IFERROR(__xludf.DUMMYFUNCTION("""COMPUTED_VALUE"""),"Germany")</f>
        <v>Germany</v>
      </c>
      <c r="K122" s="6" t="str">
        <f>IFERROR(__xludf.DUMMYFUNCTION("""COMPUTED_VALUE"""),"Basic")</f>
        <v>Basic</v>
      </c>
      <c r="L122" s="6">
        <f>IFERROR(__xludf.DUMMYFUNCTION("""COMPUTED_VALUE"""),0.0)</f>
        <v>0</v>
      </c>
      <c r="M122" s="6" t="str">
        <f>IFERROR(__xludf.DUMMYFUNCTION("""COMPUTED_VALUE"""),"2023-08")</f>
        <v>2023-08</v>
      </c>
    </row>
    <row r="123">
      <c r="A123" s="6" t="str">
        <f>IFERROR(__xludf.DUMMYFUNCTION("""COMPUTED_VALUE"""),"cbf47a47-bafb-4c41-8377-eb7fd4e36136")</f>
        <v>cbf47a47-bafb-4c41-8377-eb7fd4e36136</v>
      </c>
      <c r="B123" s="6" t="str">
        <f>IFERROR(__xludf.DUMMYFUNCTION("""COMPUTED_VALUE"""),"338db82e-4845-4045-9a43-9411d08820ce")</f>
        <v>338db82e-4845-4045-9a43-9411d08820ce</v>
      </c>
      <c r="C123" s="7">
        <f>IFERROR(__xludf.DUMMYFUNCTION("""COMPUTED_VALUE"""),44934.0)</f>
        <v>44934</v>
      </c>
      <c r="D123" s="8">
        <f>IFERROR(__xludf.DUMMYFUNCTION("""COMPUTED_VALUE"""),2.0338114E7)</f>
        <v>20338114</v>
      </c>
      <c r="E123" s="6" t="str">
        <f>IFERROR(__xludf.DUMMYFUNCTION("""COMPUTED_VALUE"""),"MOVIE")</f>
        <v>MOVIE</v>
      </c>
      <c r="F123" s="6" t="str">
        <f>IFERROR(__xludf.DUMMYFUNCTION("""COMPUTED_VALUE"""),"Thriller")</f>
        <v>Thriller</v>
      </c>
      <c r="G123" s="6">
        <f>IFERROR(__xludf.DUMMYFUNCTION("""COMPUTED_VALUE"""),21.0)</f>
        <v>21</v>
      </c>
      <c r="H123" s="6">
        <f>IFERROR(__xludf.DUMMYFUNCTION("""COMPUTED_VALUE"""),1.0)</f>
        <v>1</v>
      </c>
      <c r="I123" s="6" t="str">
        <f>IFERROR(__xludf.DUMMYFUNCTION("""COMPUTED_VALUE"""),"Mobile")</f>
        <v>Mobile</v>
      </c>
      <c r="J123" s="6" t="str">
        <f>IFERROR(__xludf.DUMMYFUNCTION("""COMPUTED_VALUE"""),"Uk")</f>
        <v>Uk</v>
      </c>
      <c r="K123" s="6" t="str">
        <f>IFERROR(__xludf.DUMMYFUNCTION("""COMPUTED_VALUE"""),"Basic")</f>
        <v>Basic</v>
      </c>
      <c r="L123" s="6">
        <f>IFERROR(__xludf.DUMMYFUNCTION("""COMPUTED_VALUE"""),0.0)</f>
        <v>0</v>
      </c>
      <c r="M123" s="6" t="str">
        <f>IFERROR(__xludf.DUMMYFUNCTION("""COMPUTED_VALUE"""),"2023-01")</f>
        <v>2023-01</v>
      </c>
    </row>
    <row r="124">
      <c r="A124" s="6" t="str">
        <f>IFERROR(__xludf.DUMMYFUNCTION("""COMPUTED_VALUE"""),"6eae7cf6-2691-46b5-a135-eddaa03ab089")</f>
        <v>6eae7cf6-2691-46b5-a135-eddaa03ab089</v>
      </c>
      <c r="B124" s="6" t="str">
        <f>IFERROR(__xludf.DUMMYFUNCTION("""COMPUTED_VALUE"""),"342f9997-fa55-466d-8738-5955a8f1fe2e")</f>
        <v>342f9997-fa55-466d-8738-5955a8f1fe2e</v>
      </c>
      <c r="C124" s="7">
        <f>IFERROR(__xludf.DUMMYFUNCTION("""COMPUTED_VALUE"""),44985.0)</f>
        <v>44985</v>
      </c>
      <c r="D124" s="8">
        <f>IFERROR(__xludf.DUMMYFUNCTION("""COMPUTED_VALUE"""),7279768.0)</f>
        <v>7279768</v>
      </c>
      <c r="E124" s="6" t="str">
        <f>IFERROR(__xludf.DUMMYFUNCTION("""COMPUTED_VALUE"""),"SERIES")</f>
        <v>SERIES</v>
      </c>
      <c r="F124" s="6" t="str">
        <f>IFERROR(__xludf.DUMMYFUNCTION("""COMPUTED_VALUE"""),"Sci-Fi")</f>
        <v>Sci-Fi</v>
      </c>
      <c r="G124" s="6">
        <f>IFERROR(__xludf.DUMMYFUNCTION("""COMPUTED_VALUE"""),46.0)</f>
        <v>46</v>
      </c>
      <c r="H124" s="6">
        <f>IFERROR(__xludf.DUMMYFUNCTION("""COMPUTED_VALUE"""),0.0)</f>
        <v>0</v>
      </c>
      <c r="I124" s="6" t="str">
        <f>IFERROR(__xludf.DUMMYFUNCTION("""COMPUTED_VALUE"""),"Desktop")</f>
        <v>Desktop</v>
      </c>
      <c r="J124" s="6" t="str">
        <f>IFERROR(__xludf.DUMMYFUNCTION("""COMPUTED_VALUE"""),"France")</f>
        <v>France</v>
      </c>
      <c r="K124" s="6" t="str">
        <f>IFERROR(__xludf.DUMMYFUNCTION("""COMPUTED_VALUE"""),"Standard")</f>
        <v>Standard</v>
      </c>
      <c r="L124" s="6">
        <f>IFERROR(__xludf.DUMMYFUNCTION("""COMPUTED_VALUE"""),0.0)</f>
        <v>0</v>
      </c>
      <c r="M124" s="6" t="str">
        <f>IFERROR(__xludf.DUMMYFUNCTION("""COMPUTED_VALUE"""),"2023-02")</f>
        <v>2023-02</v>
      </c>
    </row>
    <row r="125">
      <c r="A125" s="6" t="str">
        <f>IFERROR(__xludf.DUMMYFUNCTION("""COMPUTED_VALUE"""),"9026f15b-dc54-4d66-8095-555c53aee7e5")</f>
        <v>9026f15b-dc54-4d66-8095-555c53aee7e5</v>
      </c>
      <c r="B125" s="6" t="str">
        <f>IFERROR(__xludf.DUMMYFUNCTION("""COMPUTED_VALUE"""),"343bb934-3331-4347-8c1a-51f9bca52579")</f>
        <v>343bb934-3331-4347-8c1a-51f9bca52579</v>
      </c>
      <c r="C125" s="7">
        <f>IFERROR(__xludf.DUMMYFUNCTION("""COMPUTED_VALUE"""),45061.0)</f>
        <v>45061</v>
      </c>
      <c r="D125" s="8">
        <f>IFERROR(__xludf.DUMMYFUNCTION("""COMPUTED_VALUE"""),4554219.0)</f>
        <v>4554219</v>
      </c>
      <c r="E125" s="6" t="str">
        <f>IFERROR(__xludf.DUMMYFUNCTION("""COMPUTED_VALUE"""),"MOVIE")</f>
        <v>MOVIE</v>
      </c>
      <c r="F125" s="6" t="str">
        <f>IFERROR(__xludf.DUMMYFUNCTION("""COMPUTED_VALUE"""),"Drama")</f>
        <v>Drama</v>
      </c>
      <c r="G125" s="6">
        <f>IFERROR(__xludf.DUMMYFUNCTION("""COMPUTED_VALUE"""),111.0)</f>
        <v>111</v>
      </c>
      <c r="H125" s="6">
        <f>IFERROR(__xludf.DUMMYFUNCTION("""COMPUTED_VALUE"""),1.0)</f>
        <v>1</v>
      </c>
      <c r="I125" s="6" t="str">
        <f>IFERROR(__xludf.DUMMYFUNCTION("""COMPUTED_VALUE"""),"Smart Tv")</f>
        <v>Smart Tv</v>
      </c>
      <c r="J125" s="6" t="str">
        <f>IFERROR(__xludf.DUMMYFUNCTION("""COMPUTED_VALUE"""),"Germany")</f>
        <v>Germany</v>
      </c>
      <c r="K125" s="6" t="str">
        <f>IFERROR(__xludf.DUMMYFUNCTION("""COMPUTED_VALUE"""),"Basic")</f>
        <v>Basic</v>
      </c>
      <c r="L125" s="6">
        <f>IFERROR(__xludf.DUMMYFUNCTION("""COMPUTED_VALUE"""),0.0)</f>
        <v>0</v>
      </c>
      <c r="M125" s="6" t="str">
        <f>IFERROR(__xludf.DUMMYFUNCTION("""COMPUTED_VALUE"""),"2023-05")</f>
        <v>2023-05</v>
      </c>
    </row>
    <row r="126">
      <c r="A126" s="6" t="str">
        <f>IFERROR(__xludf.DUMMYFUNCTION("""COMPUTED_VALUE"""),"ef9f1d90-6706-4199-9aaa-caa89bec11a0")</f>
        <v>ef9f1d90-6706-4199-9aaa-caa89bec11a0</v>
      </c>
      <c r="B126" s="6" t="str">
        <f>IFERROR(__xludf.DUMMYFUNCTION("""COMPUTED_VALUE"""),"349b5516-fdce-483c-b43c-02bb56ff8ca6")</f>
        <v>349b5516-fdce-483c-b43c-02bb56ff8ca6</v>
      </c>
      <c r="C126" s="7">
        <f>IFERROR(__xludf.DUMMYFUNCTION("""COMPUTED_VALUE"""),45251.0)</f>
        <v>45251</v>
      </c>
      <c r="D126" s="8">
        <f>IFERROR(__xludf.DUMMYFUNCTION("""COMPUTED_VALUE"""),7506000.0)</f>
        <v>7506000</v>
      </c>
      <c r="E126" s="6" t="str">
        <f>IFERROR(__xludf.DUMMYFUNCTION("""COMPUTED_VALUE"""),"DOCUMENTARY")</f>
        <v>DOCUMENTARY</v>
      </c>
      <c r="F126" s="6" t="str">
        <f>IFERROR(__xludf.DUMMYFUNCTION("""COMPUTED_VALUE"""),"Comedy")</f>
        <v>Comedy</v>
      </c>
      <c r="G126" s="6">
        <f>IFERROR(__xludf.DUMMYFUNCTION("""COMPUTED_VALUE"""),159.0)</f>
        <v>159</v>
      </c>
      <c r="H126" s="6">
        <f>IFERROR(__xludf.DUMMYFUNCTION("""COMPUTED_VALUE"""),1.0)</f>
        <v>1</v>
      </c>
      <c r="I126" s="6" t="str">
        <f>IFERROR(__xludf.DUMMYFUNCTION("""COMPUTED_VALUE"""),"Smart Tv")</f>
        <v>Smart Tv</v>
      </c>
      <c r="J126" s="6" t="str">
        <f>IFERROR(__xludf.DUMMYFUNCTION("""COMPUTED_VALUE"""),"France")</f>
        <v>France</v>
      </c>
      <c r="K126" s="6" t="str">
        <f>IFERROR(__xludf.DUMMYFUNCTION("""COMPUTED_VALUE"""),"Premium")</f>
        <v>Premium</v>
      </c>
      <c r="L126" s="6">
        <f>IFERROR(__xludf.DUMMYFUNCTION("""COMPUTED_VALUE"""),0.0)</f>
        <v>0</v>
      </c>
      <c r="M126" s="6" t="str">
        <f>IFERROR(__xludf.DUMMYFUNCTION("""COMPUTED_VALUE"""),"2023-11")</f>
        <v>2023-11</v>
      </c>
    </row>
    <row r="127">
      <c r="A127" s="6" t="str">
        <f>IFERROR(__xludf.DUMMYFUNCTION("""COMPUTED_VALUE"""),"8df76120-a4c8-46ba-85bb-98a200c5ec67")</f>
        <v>8df76120-a4c8-46ba-85bb-98a200c5ec67</v>
      </c>
      <c r="B127" s="6" t="str">
        <f>IFERROR(__xludf.DUMMYFUNCTION("""COMPUTED_VALUE"""),"35fb8567-1d59-4822-ac58-df25495c3a0c")</f>
        <v>35fb8567-1d59-4822-ac58-df25495c3a0c</v>
      </c>
      <c r="C127" s="7">
        <f>IFERROR(__xludf.DUMMYFUNCTION("""COMPUTED_VALUE"""),45266.0)</f>
        <v>45266</v>
      </c>
      <c r="D127" s="8">
        <f>IFERROR(__xludf.DUMMYFUNCTION("""COMPUTED_VALUE"""),1.0319192E7)</f>
        <v>10319192</v>
      </c>
      <c r="E127" s="6" t="str">
        <f>IFERROR(__xludf.DUMMYFUNCTION("""COMPUTED_VALUE"""),"SERIES")</f>
        <v>SERIES</v>
      </c>
      <c r="F127" s="6" t="str">
        <f>IFERROR(__xludf.DUMMYFUNCTION("""COMPUTED_VALUE"""),"Sci-Fi")</f>
        <v>Sci-Fi</v>
      </c>
      <c r="G127" s="6">
        <f>IFERROR(__xludf.DUMMYFUNCTION("""COMPUTED_VALUE"""),49.0)</f>
        <v>49</v>
      </c>
      <c r="H127" s="6">
        <f>IFERROR(__xludf.DUMMYFUNCTION("""COMPUTED_VALUE"""),1.0)</f>
        <v>1</v>
      </c>
      <c r="I127" s="6" t="str">
        <f>IFERROR(__xludf.DUMMYFUNCTION("""COMPUTED_VALUE"""),"Tablet")</f>
        <v>Tablet</v>
      </c>
      <c r="J127" s="6" t="str">
        <f>IFERROR(__xludf.DUMMYFUNCTION("""COMPUTED_VALUE"""),"France")</f>
        <v>France</v>
      </c>
      <c r="K127" s="6" t="str">
        <f>IFERROR(__xludf.DUMMYFUNCTION("""COMPUTED_VALUE"""),"Standard")</f>
        <v>Standard</v>
      </c>
      <c r="L127" s="6">
        <f>IFERROR(__xludf.DUMMYFUNCTION("""COMPUTED_VALUE"""),0.0)</f>
        <v>0</v>
      </c>
      <c r="M127" s="6" t="str">
        <f>IFERROR(__xludf.DUMMYFUNCTION("""COMPUTED_VALUE"""),"2023-12")</f>
        <v>2023-12</v>
      </c>
    </row>
    <row r="128">
      <c r="A128" s="6" t="str">
        <f>IFERROR(__xludf.DUMMYFUNCTION("""COMPUTED_VALUE"""),"8cf78e49-3127-4d8f-9a47-2aa43fcaff6c")</f>
        <v>8cf78e49-3127-4d8f-9a47-2aa43fcaff6c</v>
      </c>
      <c r="B128" s="6" t="str">
        <f>IFERROR(__xludf.DUMMYFUNCTION("""COMPUTED_VALUE"""),"36425264-9d11-40cf-ad83-0e33b7ed7bcf")</f>
        <v>36425264-9d11-40cf-ad83-0e33b7ed7bcf</v>
      </c>
      <c r="C128" s="7">
        <f>IFERROR(__xludf.DUMMYFUNCTION("""COMPUTED_VALUE"""),45189.0)</f>
        <v>45189</v>
      </c>
      <c r="D128" s="8">
        <f>IFERROR(__xludf.DUMMYFUNCTION("""COMPUTED_VALUE"""),3.1218429E7)</f>
        <v>31218429</v>
      </c>
      <c r="E128" s="6" t="str">
        <f>IFERROR(__xludf.DUMMYFUNCTION("""COMPUTED_VALUE"""),"MOVIE")</f>
        <v>MOVIE</v>
      </c>
      <c r="F128" s="6" t="str">
        <f>IFERROR(__xludf.DUMMYFUNCTION("""COMPUTED_VALUE"""),"Thriller")</f>
        <v>Thriller</v>
      </c>
      <c r="G128" s="6">
        <f>IFERROR(__xludf.DUMMYFUNCTION("""COMPUTED_VALUE"""),71.0)</f>
        <v>71</v>
      </c>
      <c r="H128" s="6">
        <f>IFERROR(__xludf.DUMMYFUNCTION("""COMPUTED_VALUE"""),0.0)</f>
        <v>0</v>
      </c>
      <c r="I128" s="6" t="str">
        <f>IFERROR(__xludf.DUMMYFUNCTION("""COMPUTED_VALUE"""),"Desktop")</f>
        <v>Desktop</v>
      </c>
      <c r="J128" s="6" t="str">
        <f>IFERROR(__xludf.DUMMYFUNCTION("""COMPUTED_VALUE"""),"Usa")</f>
        <v>Usa</v>
      </c>
      <c r="K128" s="6" t="str">
        <f>IFERROR(__xludf.DUMMYFUNCTION("""COMPUTED_VALUE"""),"Basic")</f>
        <v>Basic</v>
      </c>
      <c r="L128" s="6">
        <f>IFERROR(__xludf.DUMMYFUNCTION("""COMPUTED_VALUE"""),0.0)</f>
        <v>0</v>
      </c>
      <c r="M128" s="6" t="str">
        <f>IFERROR(__xludf.DUMMYFUNCTION("""COMPUTED_VALUE"""),"2023-09")</f>
        <v>2023-09</v>
      </c>
    </row>
    <row r="129">
      <c r="A129" s="6" t="str">
        <f>IFERROR(__xludf.DUMMYFUNCTION("""COMPUTED_VALUE"""),"b7c19309-46e7-4aab-b757-c0909f621663")</f>
        <v>b7c19309-46e7-4aab-b757-c0909f621663</v>
      </c>
      <c r="B129" s="6" t="str">
        <f>IFERROR(__xludf.DUMMYFUNCTION("""COMPUTED_VALUE"""),"36909f93-d4f1-4063-a847-a6773cf4c2cd")</f>
        <v>36909f93-d4f1-4063-a847-a6773cf4c2cd</v>
      </c>
      <c r="C129" s="7">
        <f>IFERROR(__xludf.DUMMYFUNCTION("""COMPUTED_VALUE"""),45223.0)</f>
        <v>45223</v>
      </c>
      <c r="D129" s="8">
        <f>IFERROR(__xludf.DUMMYFUNCTION("""COMPUTED_VALUE"""),1.4077494E7)</f>
        <v>14077494</v>
      </c>
      <c r="E129" s="6" t="str">
        <f>IFERROR(__xludf.DUMMYFUNCTION("""COMPUTED_VALUE"""),"MOVIE")</f>
        <v>MOVIE</v>
      </c>
      <c r="F129" s="6" t="str">
        <f>IFERROR(__xludf.DUMMYFUNCTION("""COMPUTED_VALUE"""),"Sci-Fi")</f>
        <v>Sci-Fi</v>
      </c>
      <c r="G129" s="6">
        <f>IFERROR(__xludf.DUMMYFUNCTION("""COMPUTED_VALUE"""),39.0)</f>
        <v>39</v>
      </c>
      <c r="H129" s="6">
        <f>IFERROR(__xludf.DUMMYFUNCTION("""COMPUTED_VALUE"""),1.0)</f>
        <v>1</v>
      </c>
      <c r="I129" s="6" t="str">
        <f>IFERROR(__xludf.DUMMYFUNCTION("""COMPUTED_VALUE"""),"Tablet")</f>
        <v>Tablet</v>
      </c>
      <c r="J129" s="6" t="str">
        <f>IFERROR(__xludf.DUMMYFUNCTION("""COMPUTED_VALUE"""),"Germany")</f>
        <v>Germany</v>
      </c>
      <c r="K129" s="6" t="str">
        <f>IFERROR(__xludf.DUMMYFUNCTION("""COMPUTED_VALUE"""),"Standard")</f>
        <v>Standard</v>
      </c>
      <c r="L129" s="6">
        <f>IFERROR(__xludf.DUMMYFUNCTION("""COMPUTED_VALUE"""),0.0)</f>
        <v>0</v>
      </c>
      <c r="M129" s="6" t="str">
        <f>IFERROR(__xludf.DUMMYFUNCTION("""COMPUTED_VALUE"""),"2023-10")</f>
        <v>2023-10</v>
      </c>
    </row>
    <row r="130">
      <c r="A130" s="6" t="str">
        <f>IFERROR(__xludf.DUMMYFUNCTION("""COMPUTED_VALUE"""),"ff3b5db1-859d-4173-9965-02b22d8ba8bc")</f>
        <v>ff3b5db1-859d-4173-9965-02b22d8ba8bc</v>
      </c>
      <c r="B130" s="6" t="str">
        <f>IFERROR(__xludf.DUMMYFUNCTION("""COMPUTED_VALUE"""),"375d0e51-78af-4ffe-9c46-4899a40225c3")</f>
        <v>375d0e51-78af-4ffe-9c46-4899a40225c3</v>
      </c>
      <c r="C130" s="7">
        <f>IFERROR(__xludf.DUMMYFUNCTION("""COMPUTED_VALUE"""),45222.0)</f>
        <v>45222</v>
      </c>
      <c r="D130" s="8">
        <f>IFERROR(__xludf.DUMMYFUNCTION("""COMPUTED_VALUE"""),2.1903571E7)</f>
        <v>21903571</v>
      </c>
      <c r="E130" s="6" t="str">
        <f>IFERROR(__xludf.DUMMYFUNCTION("""COMPUTED_VALUE"""),"DOCUMENTARY")</f>
        <v>DOCUMENTARY</v>
      </c>
      <c r="F130" s="6" t="str">
        <f>IFERROR(__xludf.DUMMYFUNCTION("""COMPUTED_VALUE"""),"Sci-Fi")</f>
        <v>Sci-Fi</v>
      </c>
      <c r="G130" s="6">
        <f>IFERROR(__xludf.DUMMYFUNCTION("""COMPUTED_VALUE"""),52.0)</f>
        <v>52</v>
      </c>
      <c r="H130" s="6">
        <f>IFERROR(__xludf.DUMMYFUNCTION("""COMPUTED_VALUE"""),0.0)</f>
        <v>0</v>
      </c>
      <c r="I130" s="6" t="str">
        <f>IFERROR(__xludf.DUMMYFUNCTION("""COMPUTED_VALUE"""),"Desktop")</f>
        <v>Desktop</v>
      </c>
      <c r="J130" s="6" t="str">
        <f>IFERROR(__xludf.DUMMYFUNCTION("""COMPUTED_VALUE"""),"Germany")</f>
        <v>Germany</v>
      </c>
      <c r="K130" s="6" t="str">
        <f>IFERROR(__xludf.DUMMYFUNCTION("""COMPUTED_VALUE"""),"Premium")</f>
        <v>Premium</v>
      </c>
      <c r="L130" s="6">
        <f>IFERROR(__xludf.DUMMYFUNCTION("""COMPUTED_VALUE"""),0.0)</f>
        <v>0</v>
      </c>
      <c r="M130" s="6" t="str">
        <f>IFERROR(__xludf.DUMMYFUNCTION("""COMPUTED_VALUE"""),"2023-10")</f>
        <v>2023-10</v>
      </c>
    </row>
    <row r="131">
      <c r="A131" s="6" t="str">
        <f>IFERROR(__xludf.DUMMYFUNCTION("""COMPUTED_VALUE"""),"bed61fe3-c918-498d-b01d-e5e604b45598")</f>
        <v>bed61fe3-c918-498d-b01d-e5e604b45598</v>
      </c>
      <c r="B131" s="6" t="str">
        <f>IFERROR(__xludf.DUMMYFUNCTION("""COMPUTED_VALUE"""),"37be447f-7d01-42c2-810b-da4b18aaab4b")</f>
        <v>37be447f-7d01-42c2-810b-da4b18aaab4b</v>
      </c>
      <c r="C131" s="7">
        <f>IFERROR(__xludf.DUMMYFUNCTION("""COMPUTED_VALUE"""),45080.0)</f>
        <v>45080</v>
      </c>
      <c r="D131" s="8">
        <f>IFERROR(__xludf.DUMMYFUNCTION("""COMPUTED_VALUE"""),7.8584457E7)</f>
        <v>78584457</v>
      </c>
      <c r="E131" s="6" t="str">
        <f>IFERROR(__xludf.DUMMYFUNCTION("""COMPUTED_VALUE"""),"DOCUMENTARY")</f>
        <v>DOCUMENTARY</v>
      </c>
      <c r="F131" s="6" t="str">
        <f>IFERROR(__xludf.DUMMYFUNCTION("""COMPUTED_VALUE"""),"Action")</f>
        <v>Action</v>
      </c>
      <c r="G131" s="6">
        <f>IFERROR(__xludf.DUMMYFUNCTION("""COMPUTED_VALUE"""),87.0)</f>
        <v>87</v>
      </c>
      <c r="H131" s="6">
        <f>IFERROR(__xludf.DUMMYFUNCTION("""COMPUTED_VALUE"""),1.0)</f>
        <v>1</v>
      </c>
      <c r="I131" s="6" t="str">
        <f>IFERROR(__xludf.DUMMYFUNCTION("""COMPUTED_VALUE"""),"Smart Tv")</f>
        <v>Smart Tv</v>
      </c>
      <c r="J131" s="6" t="str">
        <f>IFERROR(__xludf.DUMMYFUNCTION("""COMPUTED_VALUE"""),"India")</f>
        <v>India</v>
      </c>
      <c r="K131" s="6" t="str">
        <f>IFERROR(__xludf.DUMMYFUNCTION("""COMPUTED_VALUE"""),"Premium")</f>
        <v>Premium</v>
      </c>
      <c r="L131" s="6">
        <f>IFERROR(__xludf.DUMMYFUNCTION("""COMPUTED_VALUE"""),0.0)</f>
        <v>0</v>
      </c>
      <c r="M131" s="6" t="str">
        <f>IFERROR(__xludf.DUMMYFUNCTION("""COMPUTED_VALUE"""),"2023-06")</f>
        <v>2023-06</v>
      </c>
    </row>
    <row r="132">
      <c r="A132" s="6" t="str">
        <f>IFERROR(__xludf.DUMMYFUNCTION("""COMPUTED_VALUE"""),"17c067c4-6555-4e8e-a860-58f30a443046")</f>
        <v>17c067c4-6555-4e8e-a860-58f30a443046</v>
      </c>
      <c r="B132" s="6" t="str">
        <f>IFERROR(__xludf.DUMMYFUNCTION("""COMPUTED_VALUE"""),"385065bc-e279-4e08-bc97-e52847c8de06")</f>
        <v>385065bc-e279-4e08-bc97-e52847c8de06</v>
      </c>
      <c r="C132" s="7">
        <f>IFERROR(__xludf.DUMMYFUNCTION("""COMPUTED_VALUE"""),45205.0)</f>
        <v>45205</v>
      </c>
      <c r="D132" s="8">
        <f>IFERROR(__xludf.DUMMYFUNCTION("""COMPUTED_VALUE"""),6.563341E7)</f>
        <v>65633410</v>
      </c>
      <c r="E132" s="6" t="str">
        <f>IFERROR(__xludf.DUMMYFUNCTION("""COMPUTED_VALUE"""),"MOVIE")</f>
        <v>MOVIE</v>
      </c>
      <c r="F132" s="6" t="str">
        <f>IFERROR(__xludf.DUMMYFUNCTION("""COMPUTED_VALUE"""),"Sci-Fi")</f>
        <v>Sci-Fi</v>
      </c>
      <c r="G132" s="6">
        <f>IFERROR(__xludf.DUMMYFUNCTION("""COMPUTED_VALUE"""),97.0)</f>
        <v>97</v>
      </c>
      <c r="H132" s="6">
        <f>IFERROR(__xludf.DUMMYFUNCTION("""COMPUTED_VALUE"""),0.0)</f>
        <v>0</v>
      </c>
      <c r="I132" s="6" t="str">
        <f>IFERROR(__xludf.DUMMYFUNCTION("""COMPUTED_VALUE"""),"Tablet")</f>
        <v>Tablet</v>
      </c>
      <c r="J132" s="6" t="str">
        <f>IFERROR(__xludf.DUMMYFUNCTION("""COMPUTED_VALUE"""),"France")</f>
        <v>France</v>
      </c>
      <c r="K132" s="6" t="str">
        <f>IFERROR(__xludf.DUMMYFUNCTION("""COMPUTED_VALUE"""),"Standard")</f>
        <v>Standard</v>
      </c>
      <c r="L132" s="6">
        <f>IFERROR(__xludf.DUMMYFUNCTION("""COMPUTED_VALUE"""),0.0)</f>
        <v>0</v>
      </c>
      <c r="M132" s="6" t="str">
        <f>IFERROR(__xludf.DUMMYFUNCTION("""COMPUTED_VALUE"""),"2023-10")</f>
        <v>2023-10</v>
      </c>
    </row>
    <row r="133">
      <c r="A133" s="6" t="str">
        <f>IFERROR(__xludf.DUMMYFUNCTION("""COMPUTED_VALUE"""),"ff9f52c7-28a9-4c64-aee6-39e605a80eca")</f>
        <v>ff9f52c7-28a9-4c64-aee6-39e605a80eca</v>
      </c>
      <c r="B133" s="6" t="str">
        <f>IFERROR(__xludf.DUMMYFUNCTION("""COMPUTED_VALUE"""),"387fa01f-da9f-4789-83aa-88ef067803d5")</f>
        <v>387fa01f-da9f-4789-83aa-88ef067803d5</v>
      </c>
      <c r="C133" s="7">
        <f>IFERROR(__xludf.DUMMYFUNCTION("""COMPUTED_VALUE"""),45011.0)</f>
        <v>45011</v>
      </c>
      <c r="D133" s="8">
        <f>IFERROR(__xludf.DUMMYFUNCTION("""COMPUTED_VALUE"""),4.932853E7)</f>
        <v>49328530</v>
      </c>
      <c r="E133" s="6" t="str">
        <f>IFERROR(__xludf.DUMMYFUNCTION("""COMPUTED_VALUE"""),"MOVIE")</f>
        <v>MOVIE</v>
      </c>
      <c r="F133" s="6" t="str">
        <f>IFERROR(__xludf.DUMMYFUNCTION("""COMPUTED_VALUE"""),"Sci-Fi")</f>
        <v>Sci-Fi</v>
      </c>
      <c r="G133" s="6">
        <f>IFERROR(__xludf.DUMMYFUNCTION("""COMPUTED_VALUE"""),152.0)</f>
        <v>152</v>
      </c>
      <c r="H133" s="6">
        <f>IFERROR(__xludf.DUMMYFUNCTION("""COMPUTED_VALUE"""),1.0)</f>
        <v>1</v>
      </c>
      <c r="I133" s="6" t="str">
        <f>IFERROR(__xludf.DUMMYFUNCTION("""COMPUTED_VALUE"""),"Mobile")</f>
        <v>Mobile</v>
      </c>
      <c r="J133" s="6" t="str">
        <f>IFERROR(__xludf.DUMMYFUNCTION("""COMPUTED_VALUE"""),"India")</f>
        <v>India</v>
      </c>
      <c r="K133" s="6" t="str">
        <f>IFERROR(__xludf.DUMMYFUNCTION("""COMPUTED_VALUE"""),"Basic")</f>
        <v>Basic</v>
      </c>
      <c r="L133" s="6">
        <f>IFERROR(__xludf.DUMMYFUNCTION("""COMPUTED_VALUE"""),0.0)</f>
        <v>0</v>
      </c>
      <c r="M133" s="6" t="str">
        <f>IFERROR(__xludf.DUMMYFUNCTION("""COMPUTED_VALUE"""),"2023-03")</f>
        <v>2023-03</v>
      </c>
    </row>
    <row r="134">
      <c r="A134" s="6" t="str">
        <f>IFERROR(__xludf.DUMMYFUNCTION("""COMPUTED_VALUE"""),"ba6c8f8f-22df-4127-b272-dca70c2c994d")</f>
        <v>ba6c8f8f-22df-4127-b272-dca70c2c994d</v>
      </c>
      <c r="B134" s="6" t="str">
        <f>IFERROR(__xludf.DUMMYFUNCTION("""COMPUTED_VALUE"""),"38fab5f1-b2c2-4595-9b99-c6958e12d681")</f>
        <v>38fab5f1-b2c2-4595-9b99-c6958e12d681</v>
      </c>
      <c r="C134" s="7">
        <f>IFERROR(__xludf.DUMMYFUNCTION("""COMPUTED_VALUE"""),45063.0)</f>
        <v>45063</v>
      </c>
      <c r="D134" s="8">
        <f>IFERROR(__xludf.DUMMYFUNCTION("""COMPUTED_VALUE"""),3.9530318E7)</f>
        <v>39530318</v>
      </c>
      <c r="E134" s="6" t="str">
        <f>IFERROR(__xludf.DUMMYFUNCTION("""COMPUTED_VALUE"""),"SERIES")</f>
        <v>SERIES</v>
      </c>
      <c r="F134" s="6" t="str">
        <f>IFERROR(__xludf.DUMMYFUNCTION("""COMPUTED_VALUE"""),"Sci-Fi")</f>
        <v>Sci-Fi</v>
      </c>
      <c r="G134" s="6">
        <f>IFERROR(__xludf.DUMMYFUNCTION("""COMPUTED_VALUE"""),96.0)</f>
        <v>96</v>
      </c>
      <c r="H134" s="6">
        <f>IFERROR(__xludf.DUMMYFUNCTION("""COMPUTED_VALUE"""),0.0)</f>
        <v>0</v>
      </c>
      <c r="I134" s="6" t="str">
        <f>IFERROR(__xludf.DUMMYFUNCTION("""COMPUTED_VALUE"""),"Tablet")</f>
        <v>Tablet</v>
      </c>
      <c r="J134" s="6" t="str">
        <f>IFERROR(__xludf.DUMMYFUNCTION("""COMPUTED_VALUE"""),"Uk")</f>
        <v>Uk</v>
      </c>
      <c r="K134" s="6" t="str">
        <f>IFERROR(__xludf.DUMMYFUNCTION("""COMPUTED_VALUE"""),"Standard")</f>
        <v>Standard</v>
      </c>
      <c r="L134" s="6">
        <f>IFERROR(__xludf.DUMMYFUNCTION("""COMPUTED_VALUE"""),0.0)</f>
        <v>0</v>
      </c>
      <c r="M134" s="6" t="str">
        <f>IFERROR(__xludf.DUMMYFUNCTION("""COMPUTED_VALUE"""),"2023-05")</f>
        <v>2023-05</v>
      </c>
    </row>
    <row r="135">
      <c r="A135" s="6" t="str">
        <f>IFERROR(__xludf.DUMMYFUNCTION("""COMPUTED_VALUE"""),"27bea4db-a1b2-4a92-bcdb-e1056c441570")</f>
        <v>27bea4db-a1b2-4a92-bcdb-e1056c441570</v>
      </c>
      <c r="B135" s="6" t="str">
        <f>IFERROR(__xludf.DUMMYFUNCTION("""COMPUTED_VALUE"""),"39b77be6-5968-44b7-91ad-92a0a82053e2")</f>
        <v>39b77be6-5968-44b7-91ad-92a0a82053e2</v>
      </c>
      <c r="C135" s="7">
        <f>IFERROR(__xludf.DUMMYFUNCTION("""COMPUTED_VALUE"""),45177.0)</f>
        <v>45177</v>
      </c>
      <c r="D135" s="8">
        <f>IFERROR(__xludf.DUMMYFUNCTION("""COMPUTED_VALUE"""),8.1787111E7)</f>
        <v>81787111</v>
      </c>
      <c r="E135" s="6" t="str">
        <f>IFERROR(__xludf.DUMMYFUNCTION("""COMPUTED_VALUE"""),"DOCUMENTARY")</f>
        <v>DOCUMENTARY</v>
      </c>
      <c r="F135" s="6" t="str">
        <f>IFERROR(__xludf.DUMMYFUNCTION("""COMPUTED_VALUE"""),"Drama")</f>
        <v>Drama</v>
      </c>
      <c r="G135" s="6">
        <f>IFERROR(__xludf.DUMMYFUNCTION("""COMPUTED_VALUE"""),173.0)</f>
        <v>173</v>
      </c>
      <c r="H135" s="6">
        <f>IFERROR(__xludf.DUMMYFUNCTION("""COMPUTED_VALUE"""),1.0)</f>
        <v>1</v>
      </c>
      <c r="I135" s="6" t="str">
        <f>IFERROR(__xludf.DUMMYFUNCTION("""COMPUTED_VALUE"""),"Desktop")</f>
        <v>Desktop</v>
      </c>
      <c r="J135" s="6" t="str">
        <f>IFERROR(__xludf.DUMMYFUNCTION("""COMPUTED_VALUE"""),"Usa")</f>
        <v>Usa</v>
      </c>
      <c r="K135" s="6" t="str">
        <f>IFERROR(__xludf.DUMMYFUNCTION("""COMPUTED_VALUE"""),"Standard")</f>
        <v>Standard</v>
      </c>
      <c r="L135" s="6">
        <f>IFERROR(__xludf.DUMMYFUNCTION("""COMPUTED_VALUE"""),0.0)</f>
        <v>0</v>
      </c>
      <c r="M135" s="6" t="str">
        <f>IFERROR(__xludf.DUMMYFUNCTION("""COMPUTED_VALUE"""),"2023-09")</f>
        <v>2023-09</v>
      </c>
    </row>
    <row r="136">
      <c r="A136" s="6" t="str">
        <f>IFERROR(__xludf.DUMMYFUNCTION("""COMPUTED_VALUE"""),"801072b8-ab2f-4ad9-9dfe-8d408829bb65")</f>
        <v>801072b8-ab2f-4ad9-9dfe-8d408829bb65</v>
      </c>
      <c r="B136" s="6" t="str">
        <f>IFERROR(__xludf.DUMMYFUNCTION("""COMPUTED_VALUE"""),"3a30868e-46a1-409b-9047-bcba678cc0c3")</f>
        <v>3a30868e-46a1-409b-9047-bcba678cc0c3</v>
      </c>
      <c r="C136" s="7">
        <f>IFERROR(__xludf.DUMMYFUNCTION("""COMPUTED_VALUE"""),45248.0)</f>
        <v>45248</v>
      </c>
      <c r="D136" s="8">
        <f>IFERROR(__xludf.DUMMYFUNCTION("""COMPUTED_VALUE"""),7.0682939E7)</f>
        <v>70682939</v>
      </c>
      <c r="E136" s="6" t="str">
        <f>IFERROR(__xludf.DUMMYFUNCTION("""COMPUTED_VALUE"""),"DOCUMENTARY")</f>
        <v>DOCUMENTARY</v>
      </c>
      <c r="F136" s="6" t="str">
        <f>IFERROR(__xludf.DUMMYFUNCTION("""COMPUTED_VALUE"""),"Comedy")</f>
        <v>Comedy</v>
      </c>
      <c r="G136" s="6">
        <f>IFERROR(__xludf.DUMMYFUNCTION("""COMPUTED_VALUE"""),18.0)</f>
        <v>18</v>
      </c>
      <c r="H136" s="6">
        <f>IFERROR(__xludf.DUMMYFUNCTION("""COMPUTED_VALUE"""),1.0)</f>
        <v>1</v>
      </c>
      <c r="I136" s="6" t="str">
        <f>IFERROR(__xludf.DUMMYFUNCTION("""COMPUTED_VALUE"""),"Smart Tv")</f>
        <v>Smart Tv</v>
      </c>
      <c r="J136" s="6" t="str">
        <f>IFERROR(__xludf.DUMMYFUNCTION("""COMPUTED_VALUE"""),"Usa")</f>
        <v>Usa</v>
      </c>
      <c r="K136" s="6" t="str">
        <f>IFERROR(__xludf.DUMMYFUNCTION("""COMPUTED_VALUE"""),"Premium")</f>
        <v>Premium</v>
      </c>
      <c r="L136" s="6">
        <f>IFERROR(__xludf.DUMMYFUNCTION("""COMPUTED_VALUE"""),0.0)</f>
        <v>0</v>
      </c>
      <c r="M136" s="6" t="str">
        <f>IFERROR(__xludf.DUMMYFUNCTION("""COMPUTED_VALUE"""),"2023-11")</f>
        <v>2023-11</v>
      </c>
    </row>
    <row r="137">
      <c r="A137" s="6" t="str">
        <f>IFERROR(__xludf.DUMMYFUNCTION("""COMPUTED_VALUE"""),"5efc2eb3-faaa-4c92-9a17-8bceb321287a")</f>
        <v>5efc2eb3-faaa-4c92-9a17-8bceb321287a</v>
      </c>
      <c r="B137" s="6" t="str">
        <f>IFERROR(__xludf.DUMMYFUNCTION("""COMPUTED_VALUE"""),"3a4ce4ae-955c-4278-a385-1afadcdcb839")</f>
        <v>3a4ce4ae-955c-4278-a385-1afadcdcb839</v>
      </c>
      <c r="C137" s="7">
        <f>IFERROR(__xludf.DUMMYFUNCTION("""COMPUTED_VALUE"""),45285.0)</f>
        <v>45285</v>
      </c>
      <c r="D137" s="8">
        <f>IFERROR(__xludf.DUMMYFUNCTION("""COMPUTED_VALUE"""),2.6998022E7)</f>
        <v>26998022</v>
      </c>
      <c r="E137" s="6" t="str">
        <f>IFERROR(__xludf.DUMMYFUNCTION("""COMPUTED_VALUE"""),"DOCUMENTARY")</f>
        <v>DOCUMENTARY</v>
      </c>
      <c r="F137" s="6" t="str">
        <f>IFERROR(__xludf.DUMMYFUNCTION("""COMPUTED_VALUE"""),"Comedy")</f>
        <v>Comedy</v>
      </c>
      <c r="G137" s="6">
        <f>IFERROR(__xludf.DUMMYFUNCTION("""COMPUTED_VALUE"""),142.0)</f>
        <v>142</v>
      </c>
      <c r="H137" s="6">
        <f>IFERROR(__xludf.DUMMYFUNCTION("""COMPUTED_VALUE"""),1.0)</f>
        <v>1</v>
      </c>
      <c r="I137" s="6" t="str">
        <f>IFERROR(__xludf.DUMMYFUNCTION("""COMPUTED_VALUE"""),"Smart Tv")</f>
        <v>Smart Tv</v>
      </c>
      <c r="J137" s="6" t="str">
        <f>IFERROR(__xludf.DUMMYFUNCTION("""COMPUTED_VALUE"""),"Usa")</f>
        <v>Usa</v>
      </c>
      <c r="K137" s="6" t="str">
        <f>IFERROR(__xludf.DUMMYFUNCTION("""COMPUTED_VALUE"""),"Premium")</f>
        <v>Premium</v>
      </c>
      <c r="L137" s="6">
        <f>IFERROR(__xludf.DUMMYFUNCTION("""COMPUTED_VALUE"""),0.0)</f>
        <v>0</v>
      </c>
      <c r="M137" s="6" t="str">
        <f>IFERROR(__xludf.DUMMYFUNCTION("""COMPUTED_VALUE"""),"2023-12")</f>
        <v>2023-12</v>
      </c>
    </row>
    <row r="138">
      <c r="A138" s="6" t="str">
        <f>IFERROR(__xludf.DUMMYFUNCTION("""COMPUTED_VALUE"""),"82525a36-9421-4554-a2fe-b8f25d6fa81f")</f>
        <v>82525a36-9421-4554-a2fe-b8f25d6fa81f</v>
      </c>
      <c r="B138" s="6" t="str">
        <f>IFERROR(__xludf.DUMMYFUNCTION("""COMPUTED_VALUE"""),"3c0d9149-48f7-4efb-a8a3-c4ac23cd1158")</f>
        <v>3c0d9149-48f7-4efb-a8a3-c4ac23cd1158</v>
      </c>
      <c r="C138" s="7">
        <f>IFERROR(__xludf.DUMMYFUNCTION("""COMPUTED_VALUE"""),45129.0)</f>
        <v>45129</v>
      </c>
      <c r="D138" s="8">
        <f>IFERROR(__xludf.DUMMYFUNCTION("""COMPUTED_VALUE"""),8.6132718E7)</f>
        <v>86132718</v>
      </c>
      <c r="E138" s="6" t="str">
        <f>IFERROR(__xludf.DUMMYFUNCTION("""COMPUTED_VALUE"""),"DOCUMENTARY")</f>
        <v>DOCUMENTARY</v>
      </c>
      <c r="F138" s="6" t="str">
        <f>IFERROR(__xludf.DUMMYFUNCTION("""COMPUTED_VALUE"""),"Action")</f>
        <v>Action</v>
      </c>
      <c r="G138" s="6">
        <f>IFERROR(__xludf.DUMMYFUNCTION("""COMPUTED_VALUE"""),119.0)</f>
        <v>119</v>
      </c>
      <c r="H138" s="6">
        <f>IFERROR(__xludf.DUMMYFUNCTION("""COMPUTED_VALUE"""),1.0)</f>
        <v>1</v>
      </c>
      <c r="I138" s="6" t="str">
        <f>IFERROR(__xludf.DUMMYFUNCTION("""COMPUTED_VALUE"""),"Tablet")</f>
        <v>Tablet</v>
      </c>
      <c r="J138" s="6" t="str">
        <f>IFERROR(__xludf.DUMMYFUNCTION("""COMPUTED_VALUE"""),"Uk")</f>
        <v>Uk</v>
      </c>
      <c r="K138" s="6" t="str">
        <f>IFERROR(__xludf.DUMMYFUNCTION("""COMPUTED_VALUE"""),"Basic")</f>
        <v>Basic</v>
      </c>
      <c r="L138" s="6">
        <f>IFERROR(__xludf.DUMMYFUNCTION("""COMPUTED_VALUE"""),0.0)</f>
        <v>0</v>
      </c>
      <c r="M138" s="6" t="str">
        <f>IFERROR(__xludf.DUMMYFUNCTION("""COMPUTED_VALUE"""),"2023-07")</f>
        <v>2023-07</v>
      </c>
    </row>
    <row r="139">
      <c r="A139" s="6" t="str">
        <f>IFERROR(__xludf.DUMMYFUNCTION("""COMPUTED_VALUE"""),"cb496926-4ebe-4744-9b60-43ff8cb8bbd1")</f>
        <v>cb496926-4ebe-4744-9b60-43ff8cb8bbd1</v>
      </c>
      <c r="B139" s="6" t="str">
        <f>IFERROR(__xludf.DUMMYFUNCTION("""COMPUTED_VALUE"""),"3c1b6a78-400c-4b33-ad71-d69bc8fed11d")</f>
        <v>3c1b6a78-400c-4b33-ad71-d69bc8fed11d</v>
      </c>
      <c r="C139" s="7">
        <f>IFERROR(__xludf.DUMMYFUNCTION("""COMPUTED_VALUE"""),45217.0)</f>
        <v>45217</v>
      </c>
      <c r="D139" s="8">
        <f>IFERROR(__xludf.DUMMYFUNCTION("""COMPUTED_VALUE"""),7.9513715E7)</f>
        <v>79513715</v>
      </c>
      <c r="E139" s="6" t="str">
        <f>IFERROR(__xludf.DUMMYFUNCTION("""COMPUTED_VALUE"""),"SERIES")</f>
        <v>SERIES</v>
      </c>
      <c r="F139" s="6" t="str">
        <f>IFERROR(__xludf.DUMMYFUNCTION("""COMPUTED_VALUE"""),"Sci-Fi")</f>
        <v>Sci-Fi</v>
      </c>
      <c r="G139" s="6">
        <f>IFERROR(__xludf.DUMMYFUNCTION("""COMPUTED_VALUE"""),113.0)</f>
        <v>113</v>
      </c>
      <c r="H139" s="6">
        <f>IFERROR(__xludf.DUMMYFUNCTION("""COMPUTED_VALUE"""),0.0)</f>
        <v>0</v>
      </c>
      <c r="I139" s="6" t="str">
        <f>IFERROR(__xludf.DUMMYFUNCTION("""COMPUTED_VALUE"""),"Smart Tv")</f>
        <v>Smart Tv</v>
      </c>
      <c r="J139" s="6" t="str">
        <f>IFERROR(__xludf.DUMMYFUNCTION("""COMPUTED_VALUE"""),"Uk")</f>
        <v>Uk</v>
      </c>
      <c r="K139" s="6" t="str">
        <f>IFERROR(__xludf.DUMMYFUNCTION("""COMPUTED_VALUE"""),"Standard")</f>
        <v>Standard</v>
      </c>
      <c r="L139" s="6">
        <f>IFERROR(__xludf.DUMMYFUNCTION("""COMPUTED_VALUE"""),0.0)</f>
        <v>0</v>
      </c>
      <c r="M139" s="6" t="str">
        <f>IFERROR(__xludf.DUMMYFUNCTION("""COMPUTED_VALUE"""),"2023-10")</f>
        <v>2023-10</v>
      </c>
    </row>
    <row r="140">
      <c r="A140" s="6" t="str">
        <f>IFERROR(__xludf.DUMMYFUNCTION("""COMPUTED_VALUE"""),"34f0bdee-5dcd-45b7-9d6f-4712f68193da")</f>
        <v>34f0bdee-5dcd-45b7-9d6f-4712f68193da</v>
      </c>
      <c r="B140" s="6" t="str">
        <f>IFERROR(__xludf.DUMMYFUNCTION("""COMPUTED_VALUE"""),"3c2f54de-fb9b-4c45-93b4-4e7e0eeb7794")</f>
        <v>3c2f54de-fb9b-4c45-93b4-4e7e0eeb7794</v>
      </c>
      <c r="C140" s="7">
        <f>IFERROR(__xludf.DUMMYFUNCTION("""COMPUTED_VALUE"""),44975.0)</f>
        <v>44975</v>
      </c>
      <c r="D140" s="8">
        <f>IFERROR(__xludf.DUMMYFUNCTION("""COMPUTED_VALUE"""),1.2852932E7)</f>
        <v>12852932</v>
      </c>
      <c r="E140" s="6" t="str">
        <f>IFERROR(__xludf.DUMMYFUNCTION("""COMPUTED_VALUE"""),"DOCUMENTARY")</f>
        <v>DOCUMENTARY</v>
      </c>
      <c r="F140" s="6" t="str">
        <f>IFERROR(__xludf.DUMMYFUNCTION("""COMPUTED_VALUE"""),"Action")</f>
        <v>Action</v>
      </c>
      <c r="G140" s="6">
        <f>IFERROR(__xludf.DUMMYFUNCTION("""COMPUTED_VALUE"""),141.0)</f>
        <v>141</v>
      </c>
      <c r="H140" s="6">
        <f>IFERROR(__xludf.DUMMYFUNCTION("""COMPUTED_VALUE"""),1.0)</f>
        <v>1</v>
      </c>
      <c r="I140" s="6" t="str">
        <f>IFERROR(__xludf.DUMMYFUNCTION("""COMPUTED_VALUE"""),"Mobile")</f>
        <v>Mobile</v>
      </c>
      <c r="J140" s="6" t="str">
        <f>IFERROR(__xludf.DUMMYFUNCTION("""COMPUTED_VALUE"""),"France")</f>
        <v>France</v>
      </c>
      <c r="K140" s="6" t="str">
        <f>IFERROR(__xludf.DUMMYFUNCTION("""COMPUTED_VALUE"""),"Premium")</f>
        <v>Premium</v>
      </c>
      <c r="L140" s="6">
        <f>IFERROR(__xludf.DUMMYFUNCTION("""COMPUTED_VALUE"""),0.0)</f>
        <v>0</v>
      </c>
      <c r="M140" s="6" t="str">
        <f>IFERROR(__xludf.DUMMYFUNCTION("""COMPUTED_VALUE"""),"2023-02")</f>
        <v>2023-02</v>
      </c>
    </row>
    <row r="141">
      <c r="A141" s="6" t="str">
        <f>IFERROR(__xludf.DUMMYFUNCTION("""COMPUTED_VALUE"""),"7324cb18-d6b1-4336-ba28-31ca0e8cff18")</f>
        <v>7324cb18-d6b1-4336-ba28-31ca0e8cff18</v>
      </c>
      <c r="B141" s="6" t="str">
        <f>IFERROR(__xludf.DUMMYFUNCTION("""COMPUTED_VALUE"""),"3c84adf5-4e2d-41d6-a4ed-95c1edf06ddc")</f>
        <v>3c84adf5-4e2d-41d6-a4ed-95c1edf06ddc</v>
      </c>
      <c r="C141" s="7">
        <f>IFERROR(__xludf.DUMMYFUNCTION("""COMPUTED_VALUE"""),45051.0)</f>
        <v>45051</v>
      </c>
      <c r="D141" s="8">
        <f>IFERROR(__xludf.DUMMYFUNCTION("""COMPUTED_VALUE"""),7.7659552E7)</f>
        <v>77659552</v>
      </c>
      <c r="E141" s="6" t="str">
        <f>IFERROR(__xludf.DUMMYFUNCTION("""COMPUTED_VALUE"""),"MOVIE")</f>
        <v>MOVIE</v>
      </c>
      <c r="F141" s="6" t="str">
        <f>IFERROR(__xludf.DUMMYFUNCTION("""COMPUTED_VALUE"""),"Thriller")</f>
        <v>Thriller</v>
      </c>
      <c r="G141" s="6">
        <f>IFERROR(__xludf.DUMMYFUNCTION("""COMPUTED_VALUE"""),149.0)</f>
        <v>149</v>
      </c>
      <c r="H141" s="6">
        <f>IFERROR(__xludf.DUMMYFUNCTION("""COMPUTED_VALUE"""),1.0)</f>
        <v>1</v>
      </c>
      <c r="I141" s="6" t="str">
        <f>IFERROR(__xludf.DUMMYFUNCTION("""COMPUTED_VALUE"""),"Smart Tv")</f>
        <v>Smart Tv</v>
      </c>
      <c r="J141" s="6" t="str">
        <f>IFERROR(__xludf.DUMMYFUNCTION("""COMPUTED_VALUE"""),"Uk")</f>
        <v>Uk</v>
      </c>
      <c r="K141" s="6" t="str">
        <f>IFERROR(__xludf.DUMMYFUNCTION("""COMPUTED_VALUE"""),"Premium")</f>
        <v>Premium</v>
      </c>
      <c r="L141" s="6">
        <f>IFERROR(__xludf.DUMMYFUNCTION("""COMPUTED_VALUE"""),0.0)</f>
        <v>0</v>
      </c>
      <c r="M141" s="6" t="str">
        <f>IFERROR(__xludf.DUMMYFUNCTION("""COMPUTED_VALUE"""),"2023-05")</f>
        <v>2023-05</v>
      </c>
    </row>
    <row r="142">
      <c r="A142" s="6" t="str">
        <f>IFERROR(__xludf.DUMMYFUNCTION("""COMPUTED_VALUE"""),"2f1e8235-5f2f-463b-83a3-801c758a45e4")</f>
        <v>2f1e8235-5f2f-463b-83a3-801c758a45e4</v>
      </c>
      <c r="B142" s="6" t="str">
        <f>IFERROR(__xludf.DUMMYFUNCTION("""COMPUTED_VALUE"""),"3cd2d63f-1503-4b35-a28e-d9e86bb9ac7b")</f>
        <v>3cd2d63f-1503-4b35-a28e-d9e86bb9ac7b</v>
      </c>
      <c r="C142" s="7">
        <f>IFERROR(__xludf.DUMMYFUNCTION("""COMPUTED_VALUE"""),45196.0)</f>
        <v>45196</v>
      </c>
      <c r="D142" s="8">
        <f>IFERROR(__xludf.DUMMYFUNCTION("""COMPUTED_VALUE"""),7.9597852E7)</f>
        <v>79597852</v>
      </c>
      <c r="E142" s="6" t="str">
        <f>IFERROR(__xludf.DUMMYFUNCTION("""COMPUTED_VALUE"""),"DOCUMENTARY")</f>
        <v>DOCUMENTARY</v>
      </c>
      <c r="F142" s="6" t="str">
        <f>IFERROR(__xludf.DUMMYFUNCTION("""COMPUTED_VALUE"""),"Action")</f>
        <v>Action</v>
      </c>
      <c r="G142" s="6">
        <f>IFERROR(__xludf.DUMMYFUNCTION("""COMPUTED_VALUE"""),96.0)</f>
        <v>96</v>
      </c>
      <c r="H142" s="6">
        <f>IFERROR(__xludf.DUMMYFUNCTION("""COMPUTED_VALUE"""),0.0)</f>
        <v>0</v>
      </c>
      <c r="I142" s="6" t="str">
        <f>IFERROR(__xludf.DUMMYFUNCTION("""COMPUTED_VALUE"""),"Smart Tv")</f>
        <v>Smart Tv</v>
      </c>
      <c r="J142" s="6" t="str">
        <f>IFERROR(__xludf.DUMMYFUNCTION("""COMPUTED_VALUE"""),"Germany")</f>
        <v>Germany</v>
      </c>
      <c r="K142" s="6" t="str">
        <f>IFERROR(__xludf.DUMMYFUNCTION("""COMPUTED_VALUE"""),"Premium")</f>
        <v>Premium</v>
      </c>
      <c r="L142" s="6">
        <f>IFERROR(__xludf.DUMMYFUNCTION("""COMPUTED_VALUE"""),0.0)</f>
        <v>0</v>
      </c>
      <c r="M142" s="6" t="str">
        <f>IFERROR(__xludf.DUMMYFUNCTION("""COMPUTED_VALUE"""),"2023-09")</f>
        <v>2023-09</v>
      </c>
    </row>
    <row r="143">
      <c r="A143" s="6" t="str">
        <f>IFERROR(__xludf.DUMMYFUNCTION("""COMPUTED_VALUE"""),"b1aa2f93-83ab-40c7-9112-c36a07ae8496")</f>
        <v>b1aa2f93-83ab-40c7-9112-c36a07ae8496</v>
      </c>
      <c r="B143" s="6" t="str">
        <f>IFERROR(__xludf.DUMMYFUNCTION("""COMPUTED_VALUE"""),"3d73d3cb-6ec6-4cea-9c44-48e5b7df07ad")</f>
        <v>3d73d3cb-6ec6-4cea-9c44-48e5b7df07ad</v>
      </c>
      <c r="C143" s="7">
        <f>IFERROR(__xludf.DUMMYFUNCTION("""COMPUTED_VALUE"""),45077.0)</f>
        <v>45077</v>
      </c>
      <c r="D143" s="8">
        <f>IFERROR(__xludf.DUMMYFUNCTION("""COMPUTED_VALUE"""),5147588.0)</f>
        <v>5147588</v>
      </c>
      <c r="E143" s="6" t="str">
        <f>IFERROR(__xludf.DUMMYFUNCTION("""COMPUTED_VALUE"""),"MOVIE")</f>
        <v>MOVIE</v>
      </c>
      <c r="F143" s="6" t="str">
        <f>IFERROR(__xludf.DUMMYFUNCTION("""COMPUTED_VALUE"""),"Sci-Fi")</f>
        <v>Sci-Fi</v>
      </c>
      <c r="G143" s="6">
        <f>IFERROR(__xludf.DUMMYFUNCTION("""COMPUTED_VALUE"""),132.0)</f>
        <v>132</v>
      </c>
      <c r="H143" s="6">
        <f>IFERROR(__xludf.DUMMYFUNCTION("""COMPUTED_VALUE"""),0.0)</f>
        <v>0</v>
      </c>
      <c r="I143" s="6" t="str">
        <f>IFERROR(__xludf.DUMMYFUNCTION("""COMPUTED_VALUE"""),"Mobile")</f>
        <v>Mobile</v>
      </c>
      <c r="J143" s="6" t="str">
        <f>IFERROR(__xludf.DUMMYFUNCTION("""COMPUTED_VALUE"""),"India")</f>
        <v>India</v>
      </c>
      <c r="K143" s="6" t="str">
        <f>IFERROR(__xludf.DUMMYFUNCTION("""COMPUTED_VALUE"""),"Standard")</f>
        <v>Standard</v>
      </c>
      <c r="L143" s="6">
        <f>IFERROR(__xludf.DUMMYFUNCTION("""COMPUTED_VALUE"""),0.0)</f>
        <v>0</v>
      </c>
      <c r="M143" s="6" t="str">
        <f>IFERROR(__xludf.DUMMYFUNCTION("""COMPUTED_VALUE"""),"2023-05")</f>
        <v>2023-05</v>
      </c>
    </row>
    <row r="144">
      <c r="A144" s="6" t="str">
        <f>IFERROR(__xludf.DUMMYFUNCTION("""COMPUTED_VALUE"""),"e9d08d3b-398e-47a5-8d29-28a357867969")</f>
        <v>e9d08d3b-398e-47a5-8d29-28a357867969</v>
      </c>
      <c r="B144" s="6" t="str">
        <f>IFERROR(__xludf.DUMMYFUNCTION("""COMPUTED_VALUE"""),"3e0d637b-7954-46cb-9a35-6dfb204eec1f")</f>
        <v>3e0d637b-7954-46cb-9a35-6dfb204eec1f</v>
      </c>
      <c r="C144" s="7">
        <f>IFERROR(__xludf.DUMMYFUNCTION("""COMPUTED_VALUE"""),45194.0)</f>
        <v>45194</v>
      </c>
      <c r="D144" s="8">
        <f>IFERROR(__xludf.DUMMYFUNCTION("""COMPUTED_VALUE"""),6.4194172E7)</f>
        <v>64194172</v>
      </c>
      <c r="E144" s="6" t="str">
        <f>IFERROR(__xludf.DUMMYFUNCTION("""COMPUTED_VALUE"""),"DOCUMENTARY")</f>
        <v>DOCUMENTARY</v>
      </c>
      <c r="F144" s="6" t="str">
        <f>IFERROR(__xludf.DUMMYFUNCTION("""COMPUTED_VALUE"""),"Comedy")</f>
        <v>Comedy</v>
      </c>
      <c r="G144" s="6">
        <f>IFERROR(__xludf.DUMMYFUNCTION("""COMPUTED_VALUE"""),116.0)</f>
        <v>116</v>
      </c>
      <c r="H144" s="6">
        <f>IFERROR(__xludf.DUMMYFUNCTION("""COMPUTED_VALUE"""),1.0)</f>
        <v>1</v>
      </c>
      <c r="I144" s="6" t="str">
        <f>IFERROR(__xludf.DUMMYFUNCTION("""COMPUTED_VALUE"""),"Tablet")</f>
        <v>Tablet</v>
      </c>
      <c r="J144" s="6" t="str">
        <f>IFERROR(__xludf.DUMMYFUNCTION("""COMPUTED_VALUE"""),"India")</f>
        <v>India</v>
      </c>
      <c r="K144" s="6" t="str">
        <f>IFERROR(__xludf.DUMMYFUNCTION("""COMPUTED_VALUE"""),"Basic")</f>
        <v>Basic</v>
      </c>
      <c r="L144" s="6">
        <f>IFERROR(__xludf.DUMMYFUNCTION("""COMPUTED_VALUE"""),0.0)</f>
        <v>0</v>
      </c>
      <c r="M144" s="6" t="str">
        <f>IFERROR(__xludf.DUMMYFUNCTION("""COMPUTED_VALUE"""),"2023-09")</f>
        <v>2023-09</v>
      </c>
    </row>
    <row r="145">
      <c r="A145" s="6" t="str">
        <f>IFERROR(__xludf.DUMMYFUNCTION("""COMPUTED_VALUE"""),"d1ea3330-e274-4f60-955f-8547212da1b3")</f>
        <v>d1ea3330-e274-4f60-955f-8547212da1b3</v>
      </c>
      <c r="B145" s="6" t="str">
        <f>IFERROR(__xludf.DUMMYFUNCTION("""COMPUTED_VALUE"""),"3e217380-c1cf-468d-87c5-a666763a38ea")</f>
        <v>3e217380-c1cf-468d-87c5-a666763a38ea</v>
      </c>
      <c r="C145" s="7">
        <f>IFERROR(__xludf.DUMMYFUNCTION("""COMPUTED_VALUE"""),44999.0)</f>
        <v>44999</v>
      </c>
      <c r="D145" s="8">
        <f>IFERROR(__xludf.DUMMYFUNCTION("""COMPUTED_VALUE"""),3.2984033E7)</f>
        <v>32984033</v>
      </c>
      <c r="E145" s="6" t="str">
        <f>IFERROR(__xludf.DUMMYFUNCTION("""COMPUTED_VALUE"""),"SERIES")</f>
        <v>SERIES</v>
      </c>
      <c r="F145" s="6" t="str">
        <f>IFERROR(__xludf.DUMMYFUNCTION("""COMPUTED_VALUE"""),"Comedy")</f>
        <v>Comedy</v>
      </c>
      <c r="G145" s="6">
        <f>IFERROR(__xludf.DUMMYFUNCTION("""COMPUTED_VALUE"""),59.0)</f>
        <v>59</v>
      </c>
      <c r="H145" s="6">
        <f>IFERROR(__xludf.DUMMYFUNCTION("""COMPUTED_VALUE"""),0.0)</f>
        <v>0</v>
      </c>
      <c r="I145" s="6" t="str">
        <f>IFERROR(__xludf.DUMMYFUNCTION("""COMPUTED_VALUE"""),"Tablet")</f>
        <v>Tablet</v>
      </c>
      <c r="J145" s="6" t="str">
        <f>IFERROR(__xludf.DUMMYFUNCTION("""COMPUTED_VALUE"""),"Uk")</f>
        <v>Uk</v>
      </c>
      <c r="K145" s="6" t="str">
        <f>IFERROR(__xludf.DUMMYFUNCTION("""COMPUTED_VALUE"""),"Premium")</f>
        <v>Premium</v>
      </c>
      <c r="L145" s="6">
        <f>IFERROR(__xludf.DUMMYFUNCTION("""COMPUTED_VALUE"""),0.0)</f>
        <v>0</v>
      </c>
      <c r="M145" s="6" t="str">
        <f>IFERROR(__xludf.DUMMYFUNCTION("""COMPUTED_VALUE"""),"2023-03")</f>
        <v>2023-03</v>
      </c>
    </row>
    <row r="146">
      <c r="A146" s="6" t="str">
        <f>IFERROR(__xludf.DUMMYFUNCTION("""COMPUTED_VALUE"""),"5a56de70-7db6-4d35-9585-5342b5e6e55b")</f>
        <v>5a56de70-7db6-4d35-9585-5342b5e6e55b</v>
      </c>
      <c r="B146" s="6" t="str">
        <f>IFERROR(__xludf.DUMMYFUNCTION("""COMPUTED_VALUE"""),"3e28a876-be51-4c30-a883-6813d7850982")</f>
        <v>3e28a876-be51-4c30-a883-6813d7850982</v>
      </c>
      <c r="C146" s="7">
        <f>IFERROR(__xludf.DUMMYFUNCTION("""COMPUTED_VALUE"""),45128.0)</f>
        <v>45128</v>
      </c>
      <c r="D146" s="8">
        <f>IFERROR(__xludf.DUMMYFUNCTION("""COMPUTED_VALUE"""),5.3921178E7)</f>
        <v>53921178</v>
      </c>
      <c r="E146" s="6" t="str">
        <f>IFERROR(__xludf.DUMMYFUNCTION("""COMPUTED_VALUE"""),"SERIES")</f>
        <v>SERIES</v>
      </c>
      <c r="F146" s="6" t="str">
        <f>IFERROR(__xludf.DUMMYFUNCTION("""COMPUTED_VALUE"""),"Comedy")</f>
        <v>Comedy</v>
      </c>
      <c r="G146" s="6">
        <f>IFERROR(__xludf.DUMMYFUNCTION("""COMPUTED_VALUE"""),6.0)</f>
        <v>6</v>
      </c>
      <c r="H146" s="6">
        <f>IFERROR(__xludf.DUMMYFUNCTION("""COMPUTED_VALUE"""),1.0)</f>
        <v>1</v>
      </c>
      <c r="I146" s="6" t="str">
        <f>IFERROR(__xludf.DUMMYFUNCTION("""COMPUTED_VALUE"""),"Desktop")</f>
        <v>Desktop</v>
      </c>
      <c r="J146" s="6" t="str">
        <f>IFERROR(__xludf.DUMMYFUNCTION("""COMPUTED_VALUE"""),"Usa")</f>
        <v>Usa</v>
      </c>
      <c r="K146" s="6" t="str">
        <f>IFERROR(__xludf.DUMMYFUNCTION("""COMPUTED_VALUE"""),"Basic")</f>
        <v>Basic</v>
      </c>
      <c r="L146" s="6">
        <f>IFERROR(__xludf.DUMMYFUNCTION("""COMPUTED_VALUE"""),0.0)</f>
        <v>0</v>
      </c>
      <c r="M146" s="6" t="str">
        <f>IFERROR(__xludf.DUMMYFUNCTION("""COMPUTED_VALUE"""),"2023-07")</f>
        <v>2023-07</v>
      </c>
    </row>
    <row r="147">
      <c r="A147" s="6" t="str">
        <f>IFERROR(__xludf.DUMMYFUNCTION("""COMPUTED_VALUE"""),"28055635-3869-41d5-84f6-5b194e682ad2")</f>
        <v>28055635-3869-41d5-84f6-5b194e682ad2</v>
      </c>
      <c r="B147" s="6" t="str">
        <f>IFERROR(__xludf.DUMMYFUNCTION("""COMPUTED_VALUE"""),"3e44bf90-2412-41e4-a7e4-0f5234bdfb0e")</f>
        <v>3e44bf90-2412-41e4-a7e4-0f5234bdfb0e</v>
      </c>
      <c r="C147" s="7">
        <f>IFERROR(__xludf.DUMMYFUNCTION("""COMPUTED_VALUE"""),45170.0)</f>
        <v>45170</v>
      </c>
      <c r="D147" s="8">
        <f>IFERROR(__xludf.DUMMYFUNCTION("""COMPUTED_VALUE"""),7.3096191E7)</f>
        <v>73096191</v>
      </c>
      <c r="E147" s="6" t="str">
        <f>IFERROR(__xludf.DUMMYFUNCTION("""COMPUTED_VALUE"""),"DOCUMENTARY")</f>
        <v>DOCUMENTARY</v>
      </c>
      <c r="F147" s="6" t="str">
        <f>IFERROR(__xludf.DUMMYFUNCTION("""COMPUTED_VALUE"""),"Comedy")</f>
        <v>Comedy</v>
      </c>
      <c r="G147" s="6">
        <f>IFERROR(__xludf.DUMMYFUNCTION("""COMPUTED_VALUE"""),172.0)</f>
        <v>172</v>
      </c>
      <c r="H147" s="6">
        <f>IFERROR(__xludf.DUMMYFUNCTION("""COMPUTED_VALUE"""),1.0)</f>
        <v>1</v>
      </c>
      <c r="I147" s="6" t="str">
        <f>IFERROR(__xludf.DUMMYFUNCTION("""COMPUTED_VALUE"""),"Tablet")</f>
        <v>Tablet</v>
      </c>
      <c r="J147" s="6" t="str">
        <f>IFERROR(__xludf.DUMMYFUNCTION("""COMPUTED_VALUE"""),"Usa")</f>
        <v>Usa</v>
      </c>
      <c r="K147" s="6" t="str">
        <f>IFERROR(__xludf.DUMMYFUNCTION("""COMPUTED_VALUE"""),"Standard")</f>
        <v>Standard</v>
      </c>
      <c r="L147" s="6">
        <f>IFERROR(__xludf.DUMMYFUNCTION("""COMPUTED_VALUE"""),0.0)</f>
        <v>0</v>
      </c>
      <c r="M147" s="6" t="str">
        <f>IFERROR(__xludf.DUMMYFUNCTION("""COMPUTED_VALUE"""),"2023-09")</f>
        <v>2023-09</v>
      </c>
    </row>
    <row r="148">
      <c r="A148" s="6" t="str">
        <f>IFERROR(__xludf.DUMMYFUNCTION("""COMPUTED_VALUE"""),"8a6f79b4-7534-4204-80e5-0365da110afa")</f>
        <v>8a6f79b4-7534-4204-80e5-0365da110afa</v>
      </c>
      <c r="B148" s="6" t="str">
        <f>IFERROR(__xludf.DUMMYFUNCTION("""COMPUTED_VALUE"""),"3e9f4061-3263-4ef7-b774-85266c5e2664")</f>
        <v>3e9f4061-3263-4ef7-b774-85266c5e2664</v>
      </c>
      <c r="C148" s="7">
        <f>IFERROR(__xludf.DUMMYFUNCTION("""COMPUTED_VALUE"""),45282.0)</f>
        <v>45282</v>
      </c>
      <c r="D148" s="8">
        <f>IFERROR(__xludf.DUMMYFUNCTION("""COMPUTED_VALUE"""),5.2059742E7)</f>
        <v>52059742</v>
      </c>
      <c r="E148" s="6" t="str">
        <f>IFERROR(__xludf.DUMMYFUNCTION("""COMPUTED_VALUE"""),"MOVIE")</f>
        <v>MOVIE</v>
      </c>
      <c r="F148" s="6" t="str">
        <f>IFERROR(__xludf.DUMMYFUNCTION("""COMPUTED_VALUE"""),"Thriller")</f>
        <v>Thriller</v>
      </c>
      <c r="G148" s="6">
        <f>IFERROR(__xludf.DUMMYFUNCTION("""COMPUTED_VALUE"""),146.0)</f>
        <v>146</v>
      </c>
      <c r="H148" s="6">
        <f>IFERROR(__xludf.DUMMYFUNCTION("""COMPUTED_VALUE"""),1.0)</f>
        <v>1</v>
      </c>
      <c r="I148" s="6" t="str">
        <f>IFERROR(__xludf.DUMMYFUNCTION("""COMPUTED_VALUE"""),"Smart Tv")</f>
        <v>Smart Tv</v>
      </c>
      <c r="J148" s="6" t="str">
        <f>IFERROR(__xludf.DUMMYFUNCTION("""COMPUTED_VALUE"""),"France")</f>
        <v>France</v>
      </c>
      <c r="K148" s="6" t="str">
        <f>IFERROR(__xludf.DUMMYFUNCTION("""COMPUTED_VALUE"""),"Premium")</f>
        <v>Premium</v>
      </c>
      <c r="L148" s="6">
        <f>IFERROR(__xludf.DUMMYFUNCTION("""COMPUTED_VALUE"""),0.0)</f>
        <v>0</v>
      </c>
      <c r="M148" s="6" t="str">
        <f>IFERROR(__xludf.DUMMYFUNCTION("""COMPUTED_VALUE"""),"2023-12")</f>
        <v>2023-12</v>
      </c>
    </row>
    <row r="149">
      <c r="A149" s="6" t="str">
        <f>IFERROR(__xludf.DUMMYFUNCTION("""COMPUTED_VALUE"""),"3dd3cb3c-704b-4b61-a2c7-b31e5da9cdbc")</f>
        <v>3dd3cb3c-704b-4b61-a2c7-b31e5da9cdbc</v>
      </c>
      <c r="B149" s="6" t="str">
        <f>IFERROR(__xludf.DUMMYFUNCTION("""COMPUTED_VALUE"""),"3f76c950-99ce-451b-9008-43e0fc8c30f9")</f>
        <v>3f76c950-99ce-451b-9008-43e0fc8c30f9</v>
      </c>
      <c r="C149" s="7">
        <f>IFERROR(__xludf.DUMMYFUNCTION("""COMPUTED_VALUE"""),45126.0)</f>
        <v>45126</v>
      </c>
      <c r="D149" s="8">
        <f>IFERROR(__xludf.DUMMYFUNCTION("""COMPUTED_VALUE"""),352581.0)</f>
        <v>352581</v>
      </c>
      <c r="E149" s="6" t="str">
        <f>IFERROR(__xludf.DUMMYFUNCTION("""COMPUTED_VALUE"""),"SERIES")</f>
        <v>SERIES</v>
      </c>
      <c r="F149" s="6" t="str">
        <f>IFERROR(__xludf.DUMMYFUNCTION("""COMPUTED_VALUE"""),"Comedy")</f>
        <v>Comedy</v>
      </c>
      <c r="G149" s="6">
        <f>IFERROR(__xludf.DUMMYFUNCTION("""COMPUTED_VALUE"""),116.0)</f>
        <v>116</v>
      </c>
      <c r="H149" s="6">
        <f>IFERROR(__xludf.DUMMYFUNCTION("""COMPUTED_VALUE"""),1.0)</f>
        <v>1</v>
      </c>
      <c r="I149" s="6" t="str">
        <f>IFERROR(__xludf.DUMMYFUNCTION("""COMPUTED_VALUE"""),"Mobile")</f>
        <v>Mobile</v>
      </c>
      <c r="J149" s="6" t="str">
        <f>IFERROR(__xludf.DUMMYFUNCTION("""COMPUTED_VALUE"""),"Germany")</f>
        <v>Germany</v>
      </c>
      <c r="K149" s="6" t="str">
        <f>IFERROR(__xludf.DUMMYFUNCTION("""COMPUTED_VALUE"""),"Premium")</f>
        <v>Premium</v>
      </c>
      <c r="L149" s="6">
        <f>IFERROR(__xludf.DUMMYFUNCTION("""COMPUTED_VALUE"""),0.0)</f>
        <v>0</v>
      </c>
      <c r="M149" s="6" t="str">
        <f>IFERROR(__xludf.DUMMYFUNCTION("""COMPUTED_VALUE"""),"2023-07")</f>
        <v>2023-07</v>
      </c>
    </row>
    <row r="150">
      <c r="A150" s="6" t="str">
        <f>IFERROR(__xludf.DUMMYFUNCTION("""COMPUTED_VALUE"""),"a231a721-dce8-4f15-92fb-46368c0fe4e7")</f>
        <v>a231a721-dce8-4f15-92fb-46368c0fe4e7</v>
      </c>
      <c r="B150" s="6" t="str">
        <f>IFERROR(__xludf.DUMMYFUNCTION("""COMPUTED_VALUE"""),"407fa183-c50a-481a-afc7-0d87c5d23c2e")</f>
        <v>407fa183-c50a-481a-afc7-0d87c5d23c2e</v>
      </c>
      <c r="C150" s="7">
        <f>IFERROR(__xludf.DUMMYFUNCTION("""COMPUTED_VALUE"""),45214.0)</f>
        <v>45214</v>
      </c>
      <c r="D150" s="8">
        <f>IFERROR(__xludf.DUMMYFUNCTION("""COMPUTED_VALUE"""),7.5281427E7)</f>
        <v>75281427</v>
      </c>
      <c r="E150" s="6" t="str">
        <f>IFERROR(__xludf.DUMMYFUNCTION("""COMPUTED_VALUE"""),"MOVIE")</f>
        <v>MOVIE</v>
      </c>
      <c r="F150" s="6" t="str">
        <f>IFERROR(__xludf.DUMMYFUNCTION("""COMPUTED_VALUE"""),"Action")</f>
        <v>Action</v>
      </c>
      <c r="G150" s="6">
        <f>IFERROR(__xludf.DUMMYFUNCTION("""COMPUTED_VALUE"""),51.0)</f>
        <v>51</v>
      </c>
      <c r="H150" s="6">
        <f>IFERROR(__xludf.DUMMYFUNCTION("""COMPUTED_VALUE"""),1.0)</f>
        <v>1</v>
      </c>
      <c r="I150" s="6" t="str">
        <f>IFERROR(__xludf.DUMMYFUNCTION("""COMPUTED_VALUE"""),"Desktop")</f>
        <v>Desktop</v>
      </c>
      <c r="J150" s="6" t="str">
        <f>IFERROR(__xludf.DUMMYFUNCTION("""COMPUTED_VALUE"""),"France")</f>
        <v>France</v>
      </c>
      <c r="K150" s="6" t="str">
        <f>IFERROR(__xludf.DUMMYFUNCTION("""COMPUTED_VALUE"""),"Basic")</f>
        <v>Basic</v>
      </c>
      <c r="L150" s="6">
        <f>IFERROR(__xludf.DUMMYFUNCTION("""COMPUTED_VALUE"""),0.0)</f>
        <v>0</v>
      </c>
      <c r="M150" s="6" t="str">
        <f>IFERROR(__xludf.DUMMYFUNCTION("""COMPUTED_VALUE"""),"2023-10")</f>
        <v>2023-10</v>
      </c>
    </row>
    <row r="151">
      <c r="A151" s="6" t="str">
        <f>IFERROR(__xludf.DUMMYFUNCTION("""COMPUTED_VALUE"""),"c2a08573-97f9-4b95-ba54-b955c49b1e9e")</f>
        <v>c2a08573-97f9-4b95-ba54-b955c49b1e9e</v>
      </c>
      <c r="B151" s="6" t="str">
        <f>IFERROR(__xludf.DUMMYFUNCTION("""COMPUTED_VALUE"""),"40df1ff1-138e-46ed-8e49-b6281f869dbb")</f>
        <v>40df1ff1-138e-46ed-8e49-b6281f869dbb</v>
      </c>
      <c r="C151" s="7">
        <f>IFERROR(__xludf.DUMMYFUNCTION("""COMPUTED_VALUE"""),44994.0)</f>
        <v>44994</v>
      </c>
      <c r="D151" s="8">
        <f>IFERROR(__xludf.DUMMYFUNCTION("""COMPUTED_VALUE"""),3.6541539E7)</f>
        <v>36541539</v>
      </c>
      <c r="E151" s="6" t="str">
        <f>IFERROR(__xludf.DUMMYFUNCTION("""COMPUTED_VALUE"""),"SERIES")</f>
        <v>SERIES</v>
      </c>
      <c r="F151" s="6" t="str">
        <f>IFERROR(__xludf.DUMMYFUNCTION("""COMPUTED_VALUE"""),"Drama")</f>
        <v>Drama</v>
      </c>
      <c r="G151" s="6">
        <f>IFERROR(__xludf.DUMMYFUNCTION("""COMPUTED_VALUE"""),67.0)</f>
        <v>67</v>
      </c>
      <c r="H151" s="6">
        <f>IFERROR(__xludf.DUMMYFUNCTION("""COMPUTED_VALUE"""),1.0)</f>
        <v>1</v>
      </c>
      <c r="I151" s="6" t="str">
        <f>IFERROR(__xludf.DUMMYFUNCTION("""COMPUTED_VALUE"""),"Desktop")</f>
        <v>Desktop</v>
      </c>
      <c r="J151" s="6" t="str">
        <f>IFERROR(__xludf.DUMMYFUNCTION("""COMPUTED_VALUE"""),"Uk")</f>
        <v>Uk</v>
      </c>
      <c r="K151" s="6" t="str">
        <f>IFERROR(__xludf.DUMMYFUNCTION("""COMPUTED_VALUE"""),"Basic")</f>
        <v>Basic</v>
      </c>
      <c r="L151" s="6">
        <f>IFERROR(__xludf.DUMMYFUNCTION("""COMPUTED_VALUE"""),0.0)</f>
        <v>0</v>
      </c>
      <c r="M151" s="6" t="str">
        <f>IFERROR(__xludf.DUMMYFUNCTION("""COMPUTED_VALUE"""),"2023-03")</f>
        <v>2023-03</v>
      </c>
    </row>
    <row r="152">
      <c r="A152" s="6" t="str">
        <f>IFERROR(__xludf.DUMMYFUNCTION("""COMPUTED_VALUE"""),"4cb4ac37-8987-423e-8743-0c8111417413")</f>
        <v>4cb4ac37-8987-423e-8743-0c8111417413</v>
      </c>
      <c r="B152" s="6" t="str">
        <f>IFERROR(__xludf.DUMMYFUNCTION("""COMPUTED_VALUE"""),"4166b80b-ac6c-4b8a-b5a8-6ab649a2ff85")</f>
        <v>4166b80b-ac6c-4b8a-b5a8-6ab649a2ff85</v>
      </c>
      <c r="C152" s="7">
        <f>IFERROR(__xludf.DUMMYFUNCTION("""COMPUTED_VALUE"""),45289.0)</f>
        <v>45289</v>
      </c>
      <c r="D152" s="8">
        <f>IFERROR(__xludf.DUMMYFUNCTION("""COMPUTED_VALUE"""),4.3040308E7)</f>
        <v>43040308</v>
      </c>
      <c r="E152" s="6" t="str">
        <f>IFERROR(__xludf.DUMMYFUNCTION("""COMPUTED_VALUE"""),"MOVIE")</f>
        <v>MOVIE</v>
      </c>
      <c r="F152" s="6" t="str">
        <f>IFERROR(__xludf.DUMMYFUNCTION("""COMPUTED_VALUE"""),"Action")</f>
        <v>Action</v>
      </c>
      <c r="G152" s="6">
        <f>IFERROR(__xludf.DUMMYFUNCTION("""COMPUTED_VALUE"""),30.0)</f>
        <v>30</v>
      </c>
      <c r="H152" s="6">
        <f>IFERROR(__xludf.DUMMYFUNCTION("""COMPUTED_VALUE"""),1.0)</f>
        <v>1</v>
      </c>
      <c r="I152" s="6" t="str">
        <f>IFERROR(__xludf.DUMMYFUNCTION("""COMPUTED_VALUE"""),"Smart Tv")</f>
        <v>Smart Tv</v>
      </c>
      <c r="J152" s="6" t="str">
        <f>IFERROR(__xludf.DUMMYFUNCTION("""COMPUTED_VALUE"""),"India")</f>
        <v>India</v>
      </c>
      <c r="K152" s="6" t="str">
        <f>IFERROR(__xludf.DUMMYFUNCTION("""COMPUTED_VALUE"""),"Basic")</f>
        <v>Basic</v>
      </c>
      <c r="L152" s="6">
        <f>IFERROR(__xludf.DUMMYFUNCTION("""COMPUTED_VALUE"""),0.0)</f>
        <v>0</v>
      </c>
      <c r="M152" s="6" t="str">
        <f>IFERROR(__xludf.DUMMYFUNCTION("""COMPUTED_VALUE"""),"2023-12")</f>
        <v>2023-12</v>
      </c>
    </row>
    <row r="153">
      <c r="A153" s="6" t="str">
        <f>IFERROR(__xludf.DUMMYFUNCTION("""COMPUTED_VALUE"""),"85e80c9f-67b0-4c96-a9b3-cbfd60ff1e50")</f>
        <v>85e80c9f-67b0-4c96-a9b3-cbfd60ff1e50</v>
      </c>
      <c r="B153" s="6" t="str">
        <f>IFERROR(__xludf.DUMMYFUNCTION("""COMPUTED_VALUE"""),"4288a9a1-fa79-4e60-b8ee-c6212569cc11")</f>
        <v>4288a9a1-fa79-4e60-b8ee-c6212569cc11</v>
      </c>
      <c r="C153" s="7">
        <f>IFERROR(__xludf.DUMMYFUNCTION("""COMPUTED_VALUE"""),45246.0)</f>
        <v>45246</v>
      </c>
      <c r="D153" s="8">
        <f>IFERROR(__xludf.DUMMYFUNCTION("""COMPUTED_VALUE"""),9.4968934E7)</f>
        <v>94968934</v>
      </c>
      <c r="E153" s="6" t="str">
        <f>IFERROR(__xludf.DUMMYFUNCTION("""COMPUTED_VALUE"""),"SERIES")</f>
        <v>SERIES</v>
      </c>
      <c r="F153" s="6" t="str">
        <f>IFERROR(__xludf.DUMMYFUNCTION("""COMPUTED_VALUE"""),"Action")</f>
        <v>Action</v>
      </c>
      <c r="G153" s="6">
        <f>IFERROR(__xludf.DUMMYFUNCTION("""COMPUTED_VALUE"""),24.0)</f>
        <v>24</v>
      </c>
      <c r="H153" s="6">
        <f>IFERROR(__xludf.DUMMYFUNCTION("""COMPUTED_VALUE"""),1.0)</f>
        <v>1</v>
      </c>
      <c r="I153" s="6" t="str">
        <f>IFERROR(__xludf.DUMMYFUNCTION("""COMPUTED_VALUE"""),"Desktop")</f>
        <v>Desktop</v>
      </c>
      <c r="J153" s="6" t="str">
        <f>IFERROR(__xludf.DUMMYFUNCTION("""COMPUTED_VALUE"""),"Germany")</f>
        <v>Germany</v>
      </c>
      <c r="K153" s="6" t="str">
        <f>IFERROR(__xludf.DUMMYFUNCTION("""COMPUTED_VALUE"""),"Basic")</f>
        <v>Basic</v>
      </c>
      <c r="L153" s="6">
        <f>IFERROR(__xludf.DUMMYFUNCTION("""COMPUTED_VALUE"""),0.0)</f>
        <v>0</v>
      </c>
      <c r="M153" s="6" t="str">
        <f>IFERROR(__xludf.DUMMYFUNCTION("""COMPUTED_VALUE"""),"2023-11")</f>
        <v>2023-11</v>
      </c>
    </row>
    <row r="154">
      <c r="A154" s="6" t="str">
        <f>IFERROR(__xludf.DUMMYFUNCTION("""COMPUTED_VALUE"""),"e95ae987-f1cb-466e-832a-b1b44f43e091")</f>
        <v>e95ae987-f1cb-466e-832a-b1b44f43e091</v>
      </c>
      <c r="B154" s="6" t="str">
        <f>IFERROR(__xludf.DUMMYFUNCTION("""COMPUTED_VALUE"""),"432a85b2-69fc-4c4c-8f54-1ff51eceaac1")</f>
        <v>432a85b2-69fc-4c4c-8f54-1ff51eceaac1</v>
      </c>
      <c r="C154" s="7">
        <f>IFERROR(__xludf.DUMMYFUNCTION("""COMPUTED_VALUE"""),45150.0)</f>
        <v>45150</v>
      </c>
      <c r="D154" s="8">
        <f>IFERROR(__xludf.DUMMYFUNCTION("""COMPUTED_VALUE"""),5.0117437E7)</f>
        <v>50117437</v>
      </c>
      <c r="E154" s="6" t="str">
        <f>IFERROR(__xludf.DUMMYFUNCTION("""COMPUTED_VALUE"""),"MOVIE")</f>
        <v>MOVIE</v>
      </c>
      <c r="F154" s="6" t="str">
        <f>IFERROR(__xludf.DUMMYFUNCTION("""COMPUTED_VALUE"""),"Action")</f>
        <v>Action</v>
      </c>
      <c r="G154" s="6">
        <f>IFERROR(__xludf.DUMMYFUNCTION("""COMPUTED_VALUE"""),56.0)</f>
        <v>56</v>
      </c>
      <c r="H154" s="6">
        <f>IFERROR(__xludf.DUMMYFUNCTION("""COMPUTED_VALUE"""),1.0)</f>
        <v>1</v>
      </c>
      <c r="I154" s="6" t="str">
        <f>IFERROR(__xludf.DUMMYFUNCTION("""COMPUTED_VALUE"""),"Mobile")</f>
        <v>Mobile</v>
      </c>
      <c r="J154" s="6" t="str">
        <f>IFERROR(__xludf.DUMMYFUNCTION("""COMPUTED_VALUE"""),"Uk")</f>
        <v>Uk</v>
      </c>
      <c r="K154" s="6" t="str">
        <f>IFERROR(__xludf.DUMMYFUNCTION("""COMPUTED_VALUE"""),"Basic")</f>
        <v>Basic</v>
      </c>
      <c r="L154" s="6">
        <f>IFERROR(__xludf.DUMMYFUNCTION("""COMPUTED_VALUE"""),0.0)</f>
        <v>0</v>
      </c>
      <c r="M154" s="6" t="str">
        <f>IFERROR(__xludf.DUMMYFUNCTION("""COMPUTED_VALUE"""),"2023-08")</f>
        <v>2023-08</v>
      </c>
    </row>
    <row r="155">
      <c r="A155" s="6" t="str">
        <f>IFERROR(__xludf.DUMMYFUNCTION("""COMPUTED_VALUE"""),"06ebb89d-6099-4e1f-8773-44748d32d5a2")</f>
        <v>06ebb89d-6099-4e1f-8773-44748d32d5a2</v>
      </c>
      <c r="B155" s="6" t="str">
        <f>IFERROR(__xludf.DUMMYFUNCTION("""COMPUTED_VALUE"""),"434cbc53-a07a-401c-a5d7-ce9be4e1f87c")</f>
        <v>434cbc53-a07a-401c-a5d7-ce9be4e1f87c</v>
      </c>
      <c r="C155" s="7">
        <f>IFERROR(__xludf.DUMMYFUNCTION("""COMPUTED_VALUE"""),45046.0)</f>
        <v>45046</v>
      </c>
      <c r="D155" s="8">
        <f>IFERROR(__xludf.DUMMYFUNCTION("""COMPUTED_VALUE"""),9.9186012E7)</f>
        <v>99186012</v>
      </c>
      <c r="E155" s="6" t="str">
        <f>IFERROR(__xludf.DUMMYFUNCTION("""COMPUTED_VALUE"""),"MOVIE")</f>
        <v>MOVIE</v>
      </c>
      <c r="F155" s="6" t="str">
        <f>IFERROR(__xludf.DUMMYFUNCTION("""COMPUTED_VALUE"""),"Drama")</f>
        <v>Drama</v>
      </c>
      <c r="G155" s="6">
        <f>IFERROR(__xludf.DUMMYFUNCTION("""COMPUTED_VALUE"""),160.0)</f>
        <v>160</v>
      </c>
      <c r="H155" s="6">
        <f>IFERROR(__xludf.DUMMYFUNCTION("""COMPUTED_VALUE"""),1.0)</f>
        <v>1</v>
      </c>
      <c r="I155" s="6" t="str">
        <f>IFERROR(__xludf.DUMMYFUNCTION("""COMPUTED_VALUE"""),"Tablet")</f>
        <v>Tablet</v>
      </c>
      <c r="J155" s="6" t="str">
        <f>IFERROR(__xludf.DUMMYFUNCTION("""COMPUTED_VALUE"""),"Germany")</f>
        <v>Germany</v>
      </c>
      <c r="K155" s="6" t="str">
        <f>IFERROR(__xludf.DUMMYFUNCTION("""COMPUTED_VALUE"""),"Premium")</f>
        <v>Premium</v>
      </c>
      <c r="L155" s="6">
        <f>IFERROR(__xludf.DUMMYFUNCTION("""COMPUTED_VALUE"""),0.0)</f>
        <v>0</v>
      </c>
      <c r="M155" s="6" t="str">
        <f>IFERROR(__xludf.DUMMYFUNCTION("""COMPUTED_VALUE"""),"2023-04")</f>
        <v>2023-04</v>
      </c>
    </row>
    <row r="156">
      <c r="A156" s="6" t="str">
        <f>IFERROR(__xludf.DUMMYFUNCTION("""COMPUTED_VALUE"""),"308f3d08-410e-40fc-94ee-511c8b599c63")</f>
        <v>308f3d08-410e-40fc-94ee-511c8b599c63</v>
      </c>
      <c r="B156" s="6" t="str">
        <f>IFERROR(__xludf.DUMMYFUNCTION("""COMPUTED_VALUE"""),"4382c0af-4db7-41ef-aacf-7c016bf7311e")</f>
        <v>4382c0af-4db7-41ef-aacf-7c016bf7311e</v>
      </c>
      <c r="C156" s="7">
        <f>IFERROR(__xludf.DUMMYFUNCTION("""COMPUTED_VALUE"""),45269.0)</f>
        <v>45269</v>
      </c>
      <c r="D156" s="8">
        <f>IFERROR(__xludf.DUMMYFUNCTION("""COMPUTED_VALUE"""),2.9159956E7)</f>
        <v>29159956</v>
      </c>
      <c r="E156" s="6" t="str">
        <f>IFERROR(__xludf.DUMMYFUNCTION("""COMPUTED_VALUE"""),"DOCUMENTARY")</f>
        <v>DOCUMENTARY</v>
      </c>
      <c r="F156" s="6" t="str">
        <f>IFERROR(__xludf.DUMMYFUNCTION("""COMPUTED_VALUE"""),"Action")</f>
        <v>Action</v>
      </c>
      <c r="G156" s="6">
        <f>IFERROR(__xludf.DUMMYFUNCTION("""COMPUTED_VALUE"""),104.0)</f>
        <v>104</v>
      </c>
      <c r="H156" s="6">
        <f>IFERROR(__xludf.DUMMYFUNCTION("""COMPUTED_VALUE"""),1.0)</f>
        <v>1</v>
      </c>
      <c r="I156" s="6" t="str">
        <f>IFERROR(__xludf.DUMMYFUNCTION("""COMPUTED_VALUE"""),"Smart Tv")</f>
        <v>Smart Tv</v>
      </c>
      <c r="J156" s="6" t="str">
        <f>IFERROR(__xludf.DUMMYFUNCTION("""COMPUTED_VALUE"""),"Usa")</f>
        <v>Usa</v>
      </c>
      <c r="K156" s="6" t="str">
        <f>IFERROR(__xludf.DUMMYFUNCTION("""COMPUTED_VALUE"""),"Premium")</f>
        <v>Premium</v>
      </c>
      <c r="L156" s="6">
        <f>IFERROR(__xludf.DUMMYFUNCTION("""COMPUTED_VALUE"""),1.0)</f>
        <v>1</v>
      </c>
      <c r="M156" s="6" t="str">
        <f>IFERROR(__xludf.DUMMYFUNCTION("""COMPUTED_VALUE"""),"2023-12")</f>
        <v>2023-12</v>
      </c>
    </row>
    <row r="157">
      <c r="A157" s="6" t="str">
        <f>IFERROR(__xludf.DUMMYFUNCTION("""COMPUTED_VALUE"""),"5b9a1294-46c0-482a-a1bb-c51ef6b1992e")</f>
        <v>5b9a1294-46c0-482a-a1bb-c51ef6b1992e</v>
      </c>
      <c r="B157" s="6" t="str">
        <f>IFERROR(__xludf.DUMMYFUNCTION("""COMPUTED_VALUE"""),"43bdb8d8-891c-4575-a81e-810783c7db3a")</f>
        <v>43bdb8d8-891c-4575-a81e-810783c7db3a</v>
      </c>
      <c r="C157" s="7">
        <f>IFERROR(__xludf.DUMMYFUNCTION("""COMPUTED_VALUE"""),44944.0)</f>
        <v>44944</v>
      </c>
      <c r="D157" s="8">
        <f>IFERROR(__xludf.DUMMYFUNCTION("""COMPUTED_VALUE"""),5.6773101E7)</f>
        <v>56773101</v>
      </c>
      <c r="E157" s="6" t="str">
        <f>IFERROR(__xludf.DUMMYFUNCTION("""COMPUTED_VALUE"""),"MOVIE")</f>
        <v>MOVIE</v>
      </c>
      <c r="F157" s="6" t="str">
        <f>IFERROR(__xludf.DUMMYFUNCTION("""COMPUTED_VALUE"""),"Thriller")</f>
        <v>Thriller</v>
      </c>
      <c r="G157" s="6">
        <f>IFERROR(__xludf.DUMMYFUNCTION("""COMPUTED_VALUE"""),89.0)</f>
        <v>89</v>
      </c>
      <c r="H157" s="6">
        <f>IFERROR(__xludf.DUMMYFUNCTION("""COMPUTED_VALUE"""),0.0)</f>
        <v>0</v>
      </c>
      <c r="I157" s="6" t="str">
        <f>IFERROR(__xludf.DUMMYFUNCTION("""COMPUTED_VALUE"""),"Mobile")</f>
        <v>Mobile</v>
      </c>
      <c r="J157" s="6" t="str">
        <f>IFERROR(__xludf.DUMMYFUNCTION("""COMPUTED_VALUE"""),"Germany")</f>
        <v>Germany</v>
      </c>
      <c r="K157" s="6" t="str">
        <f>IFERROR(__xludf.DUMMYFUNCTION("""COMPUTED_VALUE"""),"Premium")</f>
        <v>Premium</v>
      </c>
      <c r="L157" s="6">
        <f>IFERROR(__xludf.DUMMYFUNCTION("""COMPUTED_VALUE"""),0.0)</f>
        <v>0</v>
      </c>
      <c r="M157" s="6" t="str">
        <f>IFERROR(__xludf.DUMMYFUNCTION("""COMPUTED_VALUE"""),"2023-01")</f>
        <v>2023-01</v>
      </c>
    </row>
    <row r="158">
      <c r="A158" s="6" t="str">
        <f>IFERROR(__xludf.DUMMYFUNCTION("""COMPUTED_VALUE"""),"293f7a05-bf21-4c55-9f9e-9192ef53c57b")</f>
        <v>293f7a05-bf21-4c55-9f9e-9192ef53c57b</v>
      </c>
      <c r="B158" s="6" t="str">
        <f>IFERROR(__xludf.DUMMYFUNCTION("""COMPUTED_VALUE"""),"444a8dd4-ed0c-4328-962a-1b9a9df606da")</f>
        <v>444a8dd4-ed0c-4328-962a-1b9a9df606da</v>
      </c>
      <c r="C158" s="7">
        <f>IFERROR(__xludf.DUMMYFUNCTION("""COMPUTED_VALUE"""),44983.0)</f>
        <v>44983</v>
      </c>
      <c r="D158" s="8">
        <f>IFERROR(__xludf.DUMMYFUNCTION("""COMPUTED_VALUE"""),8.8235035E7)</f>
        <v>88235035</v>
      </c>
      <c r="E158" s="6" t="str">
        <f>IFERROR(__xludf.DUMMYFUNCTION("""COMPUTED_VALUE"""),"MOVIE")</f>
        <v>MOVIE</v>
      </c>
      <c r="F158" s="6" t="str">
        <f>IFERROR(__xludf.DUMMYFUNCTION("""COMPUTED_VALUE"""),"Comedy")</f>
        <v>Comedy</v>
      </c>
      <c r="G158" s="6">
        <f>IFERROR(__xludf.DUMMYFUNCTION("""COMPUTED_VALUE"""),122.0)</f>
        <v>122</v>
      </c>
      <c r="H158" s="6">
        <f>IFERROR(__xludf.DUMMYFUNCTION("""COMPUTED_VALUE"""),1.0)</f>
        <v>1</v>
      </c>
      <c r="I158" s="6" t="str">
        <f>IFERROR(__xludf.DUMMYFUNCTION("""COMPUTED_VALUE"""),"Desktop")</f>
        <v>Desktop</v>
      </c>
      <c r="J158" s="6" t="str">
        <f>IFERROR(__xludf.DUMMYFUNCTION("""COMPUTED_VALUE"""),"France")</f>
        <v>France</v>
      </c>
      <c r="K158" s="6" t="str">
        <f>IFERROR(__xludf.DUMMYFUNCTION("""COMPUTED_VALUE"""),"Basic")</f>
        <v>Basic</v>
      </c>
      <c r="L158" s="6">
        <f>IFERROR(__xludf.DUMMYFUNCTION("""COMPUTED_VALUE"""),0.0)</f>
        <v>0</v>
      </c>
      <c r="M158" s="6" t="str">
        <f>IFERROR(__xludf.DUMMYFUNCTION("""COMPUTED_VALUE"""),"2023-02")</f>
        <v>2023-02</v>
      </c>
    </row>
    <row r="159">
      <c r="A159" s="6" t="str">
        <f>IFERROR(__xludf.DUMMYFUNCTION("""COMPUTED_VALUE"""),"69a27add-9346-463c-b9a8-7c03058f9ff4")</f>
        <v>69a27add-9346-463c-b9a8-7c03058f9ff4</v>
      </c>
      <c r="B159" s="6" t="str">
        <f>IFERROR(__xludf.DUMMYFUNCTION("""COMPUTED_VALUE"""),"45b18f59-08b3-4bfb-a763-615035546e70")</f>
        <v>45b18f59-08b3-4bfb-a763-615035546e70</v>
      </c>
      <c r="C159" s="7">
        <f>IFERROR(__xludf.DUMMYFUNCTION("""COMPUTED_VALUE"""),44999.0)</f>
        <v>44999</v>
      </c>
      <c r="D159" s="8">
        <f>IFERROR(__xludf.DUMMYFUNCTION("""COMPUTED_VALUE"""),7.7181541E7)</f>
        <v>77181541</v>
      </c>
      <c r="E159" s="6" t="str">
        <f>IFERROR(__xludf.DUMMYFUNCTION("""COMPUTED_VALUE"""),"MOVIE")</f>
        <v>MOVIE</v>
      </c>
      <c r="F159" s="6" t="str">
        <f>IFERROR(__xludf.DUMMYFUNCTION("""COMPUTED_VALUE"""),"Action")</f>
        <v>Action</v>
      </c>
      <c r="G159" s="6">
        <f>IFERROR(__xludf.DUMMYFUNCTION("""COMPUTED_VALUE"""),139.0)</f>
        <v>139</v>
      </c>
      <c r="H159" s="6">
        <f>IFERROR(__xludf.DUMMYFUNCTION("""COMPUTED_VALUE"""),1.0)</f>
        <v>1</v>
      </c>
      <c r="I159" s="6" t="str">
        <f>IFERROR(__xludf.DUMMYFUNCTION("""COMPUTED_VALUE"""),"Mobile")</f>
        <v>Mobile</v>
      </c>
      <c r="J159" s="6" t="str">
        <f>IFERROR(__xludf.DUMMYFUNCTION("""COMPUTED_VALUE"""),"India")</f>
        <v>India</v>
      </c>
      <c r="K159" s="6" t="str">
        <f>IFERROR(__xludf.DUMMYFUNCTION("""COMPUTED_VALUE"""),"Standard")</f>
        <v>Standard</v>
      </c>
      <c r="L159" s="6">
        <f>IFERROR(__xludf.DUMMYFUNCTION("""COMPUTED_VALUE"""),0.0)</f>
        <v>0</v>
      </c>
      <c r="M159" s="6" t="str">
        <f>IFERROR(__xludf.DUMMYFUNCTION("""COMPUTED_VALUE"""),"2023-03")</f>
        <v>2023-03</v>
      </c>
    </row>
    <row r="160">
      <c r="A160" s="6" t="str">
        <f>IFERROR(__xludf.DUMMYFUNCTION("""COMPUTED_VALUE"""),"9cc4ff93-4fd9-4a8f-adc6-e92562d55697")</f>
        <v>9cc4ff93-4fd9-4a8f-adc6-e92562d55697</v>
      </c>
      <c r="B160" s="6" t="str">
        <f>IFERROR(__xludf.DUMMYFUNCTION("""COMPUTED_VALUE"""),"46d0db98-8d03-4321-a887-8b4c9225394d")</f>
        <v>46d0db98-8d03-4321-a887-8b4c9225394d</v>
      </c>
      <c r="C160" s="7">
        <f>IFERROR(__xludf.DUMMYFUNCTION("""COMPUTED_VALUE"""),45128.0)</f>
        <v>45128</v>
      </c>
      <c r="D160" s="8">
        <f>IFERROR(__xludf.DUMMYFUNCTION("""COMPUTED_VALUE"""),6.6118404E7)</f>
        <v>66118404</v>
      </c>
      <c r="E160" s="6" t="str">
        <f>IFERROR(__xludf.DUMMYFUNCTION("""COMPUTED_VALUE"""),"SERIES")</f>
        <v>SERIES</v>
      </c>
      <c r="F160" s="6" t="str">
        <f>IFERROR(__xludf.DUMMYFUNCTION("""COMPUTED_VALUE"""),"Comedy")</f>
        <v>Comedy</v>
      </c>
      <c r="G160" s="6">
        <f>IFERROR(__xludf.DUMMYFUNCTION("""COMPUTED_VALUE"""),5.0)</f>
        <v>5</v>
      </c>
      <c r="H160" s="6">
        <f>IFERROR(__xludf.DUMMYFUNCTION("""COMPUTED_VALUE"""),0.0)</f>
        <v>0</v>
      </c>
      <c r="I160" s="6" t="str">
        <f>IFERROR(__xludf.DUMMYFUNCTION("""COMPUTED_VALUE"""),"Mobile")</f>
        <v>Mobile</v>
      </c>
      <c r="J160" s="6" t="str">
        <f>IFERROR(__xludf.DUMMYFUNCTION("""COMPUTED_VALUE"""),"Usa")</f>
        <v>Usa</v>
      </c>
      <c r="K160" s="6" t="str">
        <f>IFERROR(__xludf.DUMMYFUNCTION("""COMPUTED_VALUE"""),"Basic")</f>
        <v>Basic</v>
      </c>
      <c r="L160" s="6">
        <f>IFERROR(__xludf.DUMMYFUNCTION("""COMPUTED_VALUE"""),0.0)</f>
        <v>0</v>
      </c>
      <c r="M160" s="6" t="str">
        <f>IFERROR(__xludf.DUMMYFUNCTION("""COMPUTED_VALUE"""),"2023-07")</f>
        <v>2023-07</v>
      </c>
    </row>
    <row r="161">
      <c r="A161" s="6" t="str">
        <f>IFERROR(__xludf.DUMMYFUNCTION("""COMPUTED_VALUE"""),"8dcf681d-449d-415d-8180-017d0cb06a3d")</f>
        <v>8dcf681d-449d-415d-8180-017d0cb06a3d</v>
      </c>
      <c r="B161" s="6" t="str">
        <f>IFERROR(__xludf.DUMMYFUNCTION("""COMPUTED_VALUE"""),"4808e33e-8d99-4a63-a12a-b31521213e24")</f>
        <v>4808e33e-8d99-4a63-a12a-b31521213e24</v>
      </c>
      <c r="C161" s="7">
        <f>IFERROR(__xludf.DUMMYFUNCTION("""COMPUTED_VALUE"""),45037.0)</f>
        <v>45037</v>
      </c>
      <c r="D161" s="8">
        <f>IFERROR(__xludf.DUMMYFUNCTION("""COMPUTED_VALUE"""),9.3100106E7)</f>
        <v>93100106</v>
      </c>
      <c r="E161" s="6" t="str">
        <f>IFERROR(__xludf.DUMMYFUNCTION("""COMPUTED_VALUE"""),"DOCUMENTARY")</f>
        <v>DOCUMENTARY</v>
      </c>
      <c r="F161" s="6" t="str">
        <f>IFERROR(__xludf.DUMMYFUNCTION("""COMPUTED_VALUE"""),"Thriller")</f>
        <v>Thriller</v>
      </c>
      <c r="G161" s="6">
        <f>IFERROR(__xludf.DUMMYFUNCTION("""COMPUTED_VALUE"""),22.0)</f>
        <v>22</v>
      </c>
      <c r="H161" s="6">
        <f>IFERROR(__xludf.DUMMYFUNCTION("""COMPUTED_VALUE"""),0.0)</f>
        <v>0</v>
      </c>
      <c r="I161" s="6" t="str">
        <f>IFERROR(__xludf.DUMMYFUNCTION("""COMPUTED_VALUE"""),"Mobile")</f>
        <v>Mobile</v>
      </c>
      <c r="J161" s="6" t="str">
        <f>IFERROR(__xludf.DUMMYFUNCTION("""COMPUTED_VALUE"""),"India")</f>
        <v>India</v>
      </c>
      <c r="K161" s="6" t="str">
        <f>IFERROR(__xludf.DUMMYFUNCTION("""COMPUTED_VALUE"""),"Premium")</f>
        <v>Premium</v>
      </c>
      <c r="L161" s="6">
        <f>IFERROR(__xludf.DUMMYFUNCTION("""COMPUTED_VALUE"""),0.0)</f>
        <v>0</v>
      </c>
      <c r="M161" s="6" t="str">
        <f>IFERROR(__xludf.DUMMYFUNCTION("""COMPUTED_VALUE"""),"2023-04")</f>
        <v>2023-04</v>
      </c>
    </row>
    <row r="162">
      <c r="A162" s="6" t="str">
        <f>IFERROR(__xludf.DUMMYFUNCTION("""COMPUTED_VALUE"""),"bded53f6-53e0-4d41-8847-24e1687e3c82")</f>
        <v>bded53f6-53e0-4d41-8847-24e1687e3c82</v>
      </c>
      <c r="B162" s="6" t="str">
        <f>IFERROR(__xludf.DUMMYFUNCTION("""COMPUTED_VALUE"""),"4827e218-059e-47ba-8c60-8ede0f559ed8")</f>
        <v>4827e218-059e-47ba-8c60-8ede0f559ed8</v>
      </c>
      <c r="C162" s="7">
        <f>IFERROR(__xludf.DUMMYFUNCTION("""COMPUTED_VALUE"""),45245.0)</f>
        <v>45245</v>
      </c>
      <c r="D162" s="8">
        <f>IFERROR(__xludf.DUMMYFUNCTION("""COMPUTED_VALUE"""),1145052.0)</f>
        <v>1145052</v>
      </c>
      <c r="E162" s="6" t="str">
        <f>IFERROR(__xludf.DUMMYFUNCTION("""COMPUTED_VALUE"""),"DOCUMENTARY")</f>
        <v>DOCUMENTARY</v>
      </c>
      <c r="F162" s="6" t="str">
        <f>IFERROR(__xludf.DUMMYFUNCTION("""COMPUTED_VALUE"""),"Thriller")</f>
        <v>Thriller</v>
      </c>
      <c r="G162" s="6">
        <f>IFERROR(__xludf.DUMMYFUNCTION("""COMPUTED_VALUE"""),153.0)</f>
        <v>153</v>
      </c>
      <c r="H162" s="6">
        <f>IFERROR(__xludf.DUMMYFUNCTION("""COMPUTED_VALUE"""),0.0)</f>
        <v>0</v>
      </c>
      <c r="I162" s="6" t="str">
        <f>IFERROR(__xludf.DUMMYFUNCTION("""COMPUTED_VALUE"""),"Smart Tv")</f>
        <v>Smart Tv</v>
      </c>
      <c r="J162" s="6" t="str">
        <f>IFERROR(__xludf.DUMMYFUNCTION("""COMPUTED_VALUE"""),"Uk")</f>
        <v>Uk</v>
      </c>
      <c r="K162" s="6" t="str">
        <f>IFERROR(__xludf.DUMMYFUNCTION("""COMPUTED_VALUE"""),"Premium")</f>
        <v>Premium</v>
      </c>
      <c r="L162" s="6">
        <f>IFERROR(__xludf.DUMMYFUNCTION("""COMPUTED_VALUE"""),0.0)</f>
        <v>0</v>
      </c>
      <c r="M162" s="6" t="str">
        <f>IFERROR(__xludf.DUMMYFUNCTION("""COMPUTED_VALUE"""),"2023-11")</f>
        <v>2023-11</v>
      </c>
    </row>
    <row r="163">
      <c r="A163" s="6" t="str">
        <f>IFERROR(__xludf.DUMMYFUNCTION("""COMPUTED_VALUE"""),"8a070e39-c025-4deb-9f2c-16ea87dbfdda")</f>
        <v>8a070e39-c025-4deb-9f2c-16ea87dbfdda</v>
      </c>
      <c r="B163" s="6" t="str">
        <f>IFERROR(__xludf.DUMMYFUNCTION("""COMPUTED_VALUE"""),"48c30c63-5b39-4f39-8858-b218efc29ebc")</f>
        <v>48c30c63-5b39-4f39-8858-b218efc29ebc</v>
      </c>
      <c r="C163" s="7">
        <f>IFERROR(__xludf.DUMMYFUNCTION("""COMPUTED_VALUE"""),45274.0)</f>
        <v>45274</v>
      </c>
      <c r="D163" s="8">
        <f>IFERROR(__xludf.DUMMYFUNCTION("""COMPUTED_VALUE"""),6.4673738E7)</f>
        <v>64673738</v>
      </c>
      <c r="E163" s="6" t="str">
        <f>IFERROR(__xludf.DUMMYFUNCTION("""COMPUTED_VALUE"""),"SERIES")</f>
        <v>SERIES</v>
      </c>
      <c r="F163" s="6" t="str">
        <f>IFERROR(__xludf.DUMMYFUNCTION("""COMPUTED_VALUE"""),"Thriller")</f>
        <v>Thriller</v>
      </c>
      <c r="G163" s="6">
        <f>IFERROR(__xludf.DUMMYFUNCTION("""COMPUTED_VALUE"""),28.0)</f>
        <v>28</v>
      </c>
      <c r="H163" s="6">
        <f>IFERROR(__xludf.DUMMYFUNCTION("""COMPUTED_VALUE"""),0.0)</f>
        <v>0</v>
      </c>
      <c r="I163" s="6" t="str">
        <f>IFERROR(__xludf.DUMMYFUNCTION("""COMPUTED_VALUE"""),"Mobile")</f>
        <v>Mobile</v>
      </c>
      <c r="J163" s="6" t="str">
        <f>IFERROR(__xludf.DUMMYFUNCTION("""COMPUTED_VALUE"""),"India")</f>
        <v>India</v>
      </c>
      <c r="K163" s="6" t="str">
        <f>IFERROR(__xludf.DUMMYFUNCTION("""COMPUTED_VALUE"""),"Basic")</f>
        <v>Basic</v>
      </c>
      <c r="L163" s="6">
        <f>IFERROR(__xludf.DUMMYFUNCTION("""COMPUTED_VALUE"""),0.0)</f>
        <v>0</v>
      </c>
      <c r="M163" s="6" t="str">
        <f>IFERROR(__xludf.DUMMYFUNCTION("""COMPUTED_VALUE"""),"2023-12")</f>
        <v>2023-12</v>
      </c>
    </row>
    <row r="164">
      <c r="A164" s="6" t="str">
        <f>IFERROR(__xludf.DUMMYFUNCTION("""COMPUTED_VALUE"""),"268ebcc5-2826-4359-949b-d0c2568417d0")</f>
        <v>268ebcc5-2826-4359-949b-d0c2568417d0</v>
      </c>
      <c r="B164" s="6" t="str">
        <f>IFERROR(__xludf.DUMMYFUNCTION("""COMPUTED_VALUE"""),"49777bae-d187-417c-8254-0d49db1f4aad")</f>
        <v>49777bae-d187-417c-8254-0d49db1f4aad</v>
      </c>
      <c r="C164" s="7">
        <f>IFERROR(__xludf.DUMMYFUNCTION("""COMPUTED_VALUE"""),45022.0)</f>
        <v>45022</v>
      </c>
      <c r="D164" s="8">
        <f>IFERROR(__xludf.DUMMYFUNCTION("""COMPUTED_VALUE"""),2.7732939E7)</f>
        <v>27732939</v>
      </c>
      <c r="E164" s="6" t="str">
        <f>IFERROR(__xludf.DUMMYFUNCTION("""COMPUTED_VALUE"""),"SERIES")</f>
        <v>SERIES</v>
      </c>
      <c r="F164" s="6" t="str">
        <f>IFERROR(__xludf.DUMMYFUNCTION("""COMPUTED_VALUE"""),"Action")</f>
        <v>Action</v>
      </c>
      <c r="G164" s="6">
        <f>IFERROR(__xludf.DUMMYFUNCTION("""COMPUTED_VALUE"""),42.0)</f>
        <v>42</v>
      </c>
      <c r="H164" s="6">
        <f>IFERROR(__xludf.DUMMYFUNCTION("""COMPUTED_VALUE"""),1.0)</f>
        <v>1</v>
      </c>
      <c r="I164" s="6" t="str">
        <f>IFERROR(__xludf.DUMMYFUNCTION("""COMPUTED_VALUE"""),"Desktop")</f>
        <v>Desktop</v>
      </c>
      <c r="J164" s="6" t="str">
        <f>IFERROR(__xludf.DUMMYFUNCTION("""COMPUTED_VALUE"""),"India")</f>
        <v>India</v>
      </c>
      <c r="K164" s="6" t="str">
        <f>IFERROR(__xludf.DUMMYFUNCTION("""COMPUTED_VALUE"""),"Standard")</f>
        <v>Standard</v>
      </c>
      <c r="L164" s="6">
        <f>IFERROR(__xludf.DUMMYFUNCTION("""COMPUTED_VALUE"""),0.0)</f>
        <v>0</v>
      </c>
      <c r="M164" s="6" t="str">
        <f>IFERROR(__xludf.DUMMYFUNCTION("""COMPUTED_VALUE"""),"2023-04")</f>
        <v>2023-04</v>
      </c>
    </row>
    <row r="165">
      <c r="A165" s="6" t="str">
        <f>IFERROR(__xludf.DUMMYFUNCTION("""COMPUTED_VALUE"""),"329d35ae-81e1-4c3f-982b-943f5f55260f")</f>
        <v>329d35ae-81e1-4c3f-982b-943f5f55260f</v>
      </c>
      <c r="B165" s="6" t="str">
        <f>IFERROR(__xludf.DUMMYFUNCTION("""COMPUTED_VALUE"""),"4adf21e2-8b91-4fa6-9021-bfea02c8bcab")</f>
        <v>4adf21e2-8b91-4fa6-9021-bfea02c8bcab</v>
      </c>
      <c r="C165" s="7">
        <f>IFERROR(__xludf.DUMMYFUNCTION("""COMPUTED_VALUE"""),45189.0)</f>
        <v>45189</v>
      </c>
      <c r="D165" s="8">
        <f>IFERROR(__xludf.DUMMYFUNCTION("""COMPUTED_VALUE"""),3.7045326E7)</f>
        <v>37045326</v>
      </c>
      <c r="E165" s="6" t="str">
        <f>IFERROR(__xludf.DUMMYFUNCTION("""COMPUTED_VALUE"""),"MOVIE")</f>
        <v>MOVIE</v>
      </c>
      <c r="F165" s="6" t="str">
        <f>IFERROR(__xludf.DUMMYFUNCTION("""COMPUTED_VALUE"""),"Sci-Fi")</f>
        <v>Sci-Fi</v>
      </c>
      <c r="G165" s="6">
        <f>IFERROR(__xludf.DUMMYFUNCTION("""COMPUTED_VALUE"""),78.0)</f>
        <v>78</v>
      </c>
      <c r="H165" s="6">
        <f>IFERROR(__xludf.DUMMYFUNCTION("""COMPUTED_VALUE"""),1.0)</f>
        <v>1</v>
      </c>
      <c r="I165" s="6" t="str">
        <f>IFERROR(__xludf.DUMMYFUNCTION("""COMPUTED_VALUE"""),"Mobile")</f>
        <v>Mobile</v>
      </c>
      <c r="J165" s="6" t="str">
        <f>IFERROR(__xludf.DUMMYFUNCTION("""COMPUTED_VALUE"""),"Uk")</f>
        <v>Uk</v>
      </c>
      <c r="K165" s="6" t="str">
        <f>IFERROR(__xludf.DUMMYFUNCTION("""COMPUTED_VALUE"""),"Basic")</f>
        <v>Basic</v>
      </c>
      <c r="L165" s="6">
        <f>IFERROR(__xludf.DUMMYFUNCTION("""COMPUTED_VALUE"""),1.0)</f>
        <v>1</v>
      </c>
      <c r="M165" s="6" t="str">
        <f>IFERROR(__xludf.DUMMYFUNCTION("""COMPUTED_VALUE"""),"2023-09")</f>
        <v>2023-09</v>
      </c>
    </row>
    <row r="166">
      <c r="A166" s="6" t="str">
        <f>IFERROR(__xludf.DUMMYFUNCTION("""COMPUTED_VALUE"""),"e1715a0b-58d2-4ff2-b63d-0aa34ee06a50")</f>
        <v>e1715a0b-58d2-4ff2-b63d-0aa34ee06a50</v>
      </c>
      <c r="B166" s="6" t="str">
        <f>IFERROR(__xludf.DUMMYFUNCTION("""COMPUTED_VALUE"""),"4ae8c27f-a271-4a56-9637-e01252c14036")</f>
        <v>4ae8c27f-a271-4a56-9637-e01252c14036</v>
      </c>
      <c r="C166" s="7">
        <f>IFERROR(__xludf.DUMMYFUNCTION("""COMPUTED_VALUE"""),44983.0)</f>
        <v>44983</v>
      </c>
      <c r="D166" s="8">
        <f>IFERROR(__xludf.DUMMYFUNCTION("""COMPUTED_VALUE"""),7.539156E7)</f>
        <v>75391560</v>
      </c>
      <c r="E166" s="6" t="str">
        <f>IFERROR(__xludf.DUMMYFUNCTION("""COMPUTED_VALUE"""),"MOVIE")</f>
        <v>MOVIE</v>
      </c>
      <c r="F166" s="6" t="str">
        <f>IFERROR(__xludf.DUMMYFUNCTION("""COMPUTED_VALUE"""),"Drama")</f>
        <v>Drama</v>
      </c>
      <c r="G166" s="6">
        <f>IFERROR(__xludf.DUMMYFUNCTION("""COMPUTED_VALUE"""),139.0)</f>
        <v>139</v>
      </c>
      <c r="H166" s="6">
        <f>IFERROR(__xludf.DUMMYFUNCTION("""COMPUTED_VALUE"""),1.0)</f>
        <v>1</v>
      </c>
      <c r="I166" s="6" t="str">
        <f>IFERROR(__xludf.DUMMYFUNCTION("""COMPUTED_VALUE"""),"Smart Tv")</f>
        <v>Smart Tv</v>
      </c>
      <c r="J166" s="6" t="str">
        <f>IFERROR(__xludf.DUMMYFUNCTION("""COMPUTED_VALUE"""),"Usa")</f>
        <v>Usa</v>
      </c>
      <c r="K166" s="6" t="str">
        <f>IFERROR(__xludf.DUMMYFUNCTION("""COMPUTED_VALUE"""),"Standard")</f>
        <v>Standard</v>
      </c>
      <c r="L166" s="6">
        <f>IFERROR(__xludf.DUMMYFUNCTION("""COMPUTED_VALUE"""),0.0)</f>
        <v>0</v>
      </c>
      <c r="M166" s="6" t="str">
        <f>IFERROR(__xludf.DUMMYFUNCTION("""COMPUTED_VALUE"""),"2023-02")</f>
        <v>2023-02</v>
      </c>
    </row>
    <row r="167">
      <c r="A167" s="6" t="str">
        <f>IFERROR(__xludf.DUMMYFUNCTION("""COMPUTED_VALUE"""),"045dfa1f-f368-4569-ab26-1f657fc0d0cb")</f>
        <v>045dfa1f-f368-4569-ab26-1f657fc0d0cb</v>
      </c>
      <c r="B167" s="6" t="str">
        <f>IFERROR(__xludf.DUMMYFUNCTION("""COMPUTED_VALUE"""),"4b265a45-bacf-419f-8d0a-d138ff8cc833")</f>
        <v>4b265a45-bacf-419f-8d0a-d138ff8cc833</v>
      </c>
      <c r="C167" s="7">
        <f>IFERROR(__xludf.DUMMYFUNCTION("""COMPUTED_VALUE"""),45160.0)</f>
        <v>45160</v>
      </c>
      <c r="D167" s="8">
        <f>IFERROR(__xludf.DUMMYFUNCTION("""COMPUTED_VALUE"""),8.7283006E7)</f>
        <v>87283006</v>
      </c>
      <c r="E167" s="6" t="str">
        <f>IFERROR(__xludf.DUMMYFUNCTION("""COMPUTED_VALUE"""),"DOCUMENTARY")</f>
        <v>DOCUMENTARY</v>
      </c>
      <c r="F167" s="6" t="str">
        <f>IFERROR(__xludf.DUMMYFUNCTION("""COMPUTED_VALUE"""),"Comedy")</f>
        <v>Comedy</v>
      </c>
      <c r="G167" s="6">
        <f>IFERROR(__xludf.DUMMYFUNCTION("""COMPUTED_VALUE"""),40.0)</f>
        <v>40</v>
      </c>
      <c r="H167" s="6">
        <f>IFERROR(__xludf.DUMMYFUNCTION("""COMPUTED_VALUE"""),1.0)</f>
        <v>1</v>
      </c>
      <c r="I167" s="6" t="str">
        <f>IFERROR(__xludf.DUMMYFUNCTION("""COMPUTED_VALUE"""),"Mobile")</f>
        <v>Mobile</v>
      </c>
      <c r="J167" s="6" t="str">
        <f>IFERROR(__xludf.DUMMYFUNCTION("""COMPUTED_VALUE"""),"Uk")</f>
        <v>Uk</v>
      </c>
      <c r="K167" s="6" t="str">
        <f>IFERROR(__xludf.DUMMYFUNCTION("""COMPUTED_VALUE"""),"Standard")</f>
        <v>Standard</v>
      </c>
      <c r="L167" s="6">
        <f>IFERROR(__xludf.DUMMYFUNCTION("""COMPUTED_VALUE"""),0.0)</f>
        <v>0</v>
      </c>
      <c r="M167" s="6" t="str">
        <f>IFERROR(__xludf.DUMMYFUNCTION("""COMPUTED_VALUE"""),"2023-08")</f>
        <v>2023-08</v>
      </c>
    </row>
    <row r="168">
      <c r="A168" s="6" t="str">
        <f>IFERROR(__xludf.DUMMYFUNCTION("""COMPUTED_VALUE"""),"1bb95696-2ce3-446b-96e8-149b93dd0df4")</f>
        <v>1bb95696-2ce3-446b-96e8-149b93dd0df4</v>
      </c>
      <c r="B168" s="6" t="str">
        <f>IFERROR(__xludf.DUMMYFUNCTION("""COMPUTED_VALUE"""),"4b48fac4-27af-41aa-88c1-7d748eba5bfd")</f>
        <v>4b48fac4-27af-41aa-88c1-7d748eba5bfd</v>
      </c>
      <c r="C168" s="7">
        <f>IFERROR(__xludf.DUMMYFUNCTION("""COMPUTED_VALUE"""),45082.0)</f>
        <v>45082</v>
      </c>
      <c r="D168" s="8">
        <f>IFERROR(__xludf.DUMMYFUNCTION("""COMPUTED_VALUE"""),9.3286633E7)</f>
        <v>93286633</v>
      </c>
      <c r="E168" s="6" t="str">
        <f>IFERROR(__xludf.DUMMYFUNCTION("""COMPUTED_VALUE"""),"MOVIE")</f>
        <v>MOVIE</v>
      </c>
      <c r="F168" s="6" t="str">
        <f>IFERROR(__xludf.DUMMYFUNCTION("""COMPUTED_VALUE"""),"Thriller")</f>
        <v>Thriller</v>
      </c>
      <c r="G168" s="6">
        <f>IFERROR(__xludf.DUMMYFUNCTION("""COMPUTED_VALUE"""),43.0)</f>
        <v>43</v>
      </c>
      <c r="H168" s="6">
        <f>IFERROR(__xludf.DUMMYFUNCTION("""COMPUTED_VALUE"""),1.0)</f>
        <v>1</v>
      </c>
      <c r="I168" s="6" t="str">
        <f>IFERROR(__xludf.DUMMYFUNCTION("""COMPUTED_VALUE"""),"Smart Tv")</f>
        <v>Smart Tv</v>
      </c>
      <c r="J168" s="6" t="str">
        <f>IFERROR(__xludf.DUMMYFUNCTION("""COMPUTED_VALUE"""),"Uk")</f>
        <v>Uk</v>
      </c>
      <c r="K168" s="6" t="str">
        <f>IFERROR(__xludf.DUMMYFUNCTION("""COMPUTED_VALUE"""),"Basic")</f>
        <v>Basic</v>
      </c>
      <c r="L168" s="6">
        <f>IFERROR(__xludf.DUMMYFUNCTION("""COMPUTED_VALUE"""),0.0)</f>
        <v>0</v>
      </c>
      <c r="M168" s="6" t="str">
        <f>IFERROR(__xludf.DUMMYFUNCTION("""COMPUTED_VALUE"""),"2023-06")</f>
        <v>2023-06</v>
      </c>
    </row>
    <row r="169">
      <c r="A169" s="6" t="str">
        <f>IFERROR(__xludf.DUMMYFUNCTION("""COMPUTED_VALUE"""),"cea8c1da-e9ab-4ba4-8399-d20243b8d1d0")</f>
        <v>cea8c1da-e9ab-4ba4-8399-d20243b8d1d0</v>
      </c>
      <c r="B169" s="6" t="str">
        <f>IFERROR(__xludf.DUMMYFUNCTION("""COMPUTED_VALUE"""),"4c1944db-4bc1-4a7b-a3b5-5f7e2cb15465")</f>
        <v>4c1944db-4bc1-4a7b-a3b5-5f7e2cb15465</v>
      </c>
      <c r="C169" s="7">
        <f>IFERROR(__xludf.DUMMYFUNCTION("""COMPUTED_VALUE"""),44993.0)</f>
        <v>44993</v>
      </c>
      <c r="D169" s="8">
        <f>IFERROR(__xludf.DUMMYFUNCTION("""COMPUTED_VALUE"""),1.1683711E7)</f>
        <v>11683711</v>
      </c>
      <c r="E169" s="6" t="str">
        <f>IFERROR(__xludf.DUMMYFUNCTION("""COMPUTED_VALUE"""),"SERIES")</f>
        <v>SERIES</v>
      </c>
      <c r="F169" s="6" t="str">
        <f>IFERROR(__xludf.DUMMYFUNCTION("""COMPUTED_VALUE"""),"Drama")</f>
        <v>Drama</v>
      </c>
      <c r="G169" s="6">
        <f>IFERROR(__xludf.DUMMYFUNCTION("""COMPUTED_VALUE"""),150.0)</f>
        <v>150</v>
      </c>
      <c r="H169" s="6">
        <f>IFERROR(__xludf.DUMMYFUNCTION("""COMPUTED_VALUE"""),1.0)</f>
        <v>1</v>
      </c>
      <c r="I169" s="6" t="str">
        <f>IFERROR(__xludf.DUMMYFUNCTION("""COMPUTED_VALUE"""),"Tablet")</f>
        <v>Tablet</v>
      </c>
      <c r="J169" s="6" t="str">
        <f>IFERROR(__xludf.DUMMYFUNCTION("""COMPUTED_VALUE"""),"France")</f>
        <v>France</v>
      </c>
      <c r="K169" s="6" t="str">
        <f>IFERROR(__xludf.DUMMYFUNCTION("""COMPUTED_VALUE"""),"Standard")</f>
        <v>Standard</v>
      </c>
      <c r="L169" s="6">
        <f>IFERROR(__xludf.DUMMYFUNCTION("""COMPUTED_VALUE"""),0.0)</f>
        <v>0</v>
      </c>
      <c r="M169" s="6" t="str">
        <f>IFERROR(__xludf.DUMMYFUNCTION("""COMPUTED_VALUE"""),"2023-03")</f>
        <v>2023-03</v>
      </c>
    </row>
    <row r="170">
      <c r="A170" s="6" t="str">
        <f>IFERROR(__xludf.DUMMYFUNCTION("""COMPUTED_VALUE"""),"27be1b75-4868-462d-92a6-c2cdbce3c4b2")</f>
        <v>27be1b75-4868-462d-92a6-c2cdbce3c4b2</v>
      </c>
      <c r="B170" s="6" t="str">
        <f>IFERROR(__xludf.DUMMYFUNCTION("""COMPUTED_VALUE"""),"4c842bc2-ab63-4bbf-98e8-51739e8f4a12")</f>
        <v>4c842bc2-ab63-4bbf-98e8-51739e8f4a12</v>
      </c>
      <c r="C170" s="7">
        <f>IFERROR(__xludf.DUMMYFUNCTION("""COMPUTED_VALUE"""),45071.0)</f>
        <v>45071</v>
      </c>
      <c r="D170" s="8">
        <f>IFERROR(__xludf.DUMMYFUNCTION("""COMPUTED_VALUE"""),7.5846701E7)</f>
        <v>75846701</v>
      </c>
      <c r="E170" s="6" t="str">
        <f>IFERROR(__xludf.DUMMYFUNCTION("""COMPUTED_VALUE"""),"SERIES")</f>
        <v>SERIES</v>
      </c>
      <c r="F170" s="6" t="str">
        <f>IFERROR(__xludf.DUMMYFUNCTION("""COMPUTED_VALUE"""),"Thriller")</f>
        <v>Thriller</v>
      </c>
      <c r="G170" s="6">
        <f>IFERROR(__xludf.DUMMYFUNCTION("""COMPUTED_VALUE"""),31.0)</f>
        <v>31</v>
      </c>
      <c r="H170" s="6">
        <f>IFERROR(__xludf.DUMMYFUNCTION("""COMPUTED_VALUE"""),0.0)</f>
        <v>0</v>
      </c>
      <c r="I170" s="6" t="str">
        <f>IFERROR(__xludf.DUMMYFUNCTION("""COMPUTED_VALUE"""),"Desktop")</f>
        <v>Desktop</v>
      </c>
      <c r="J170" s="6" t="str">
        <f>IFERROR(__xludf.DUMMYFUNCTION("""COMPUTED_VALUE"""),"India")</f>
        <v>India</v>
      </c>
      <c r="K170" s="6" t="str">
        <f>IFERROR(__xludf.DUMMYFUNCTION("""COMPUTED_VALUE"""),"Standard")</f>
        <v>Standard</v>
      </c>
      <c r="L170" s="6">
        <f>IFERROR(__xludf.DUMMYFUNCTION("""COMPUTED_VALUE"""),0.0)</f>
        <v>0</v>
      </c>
      <c r="M170" s="6" t="str">
        <f>IFERROR(__xludf.DUMMYFUNCTION("""COMPUTED_VALUE"""),"2023-05")</f>
        <v>2023-05</v>
      </c>
    </row>
    <row r="171">
      <c r="A171" s="6" t="str">
        <f>IFERROR(__xludf.DUMMYFUNCTION("""COMPUTED_VALUE"""),"259504ca-da6b-436d-98a8-af2e043a69ea")</f>
        <v>259504ca-da6b-436d-98a8-af2e043a69ea</v>
      </c>
      <c r="B171" s="6" t="str">
        <f>IFERROR(__xludf.DUMMYFUNCTION("""COMPUTED_VALUE"""),"4d082ac6-b5d4-43f4-be02-894e0ca055e2")</f>
        <v>4d082ac6-b5d4-43f4-be02-894e0ca055e2</v>
      </c>
      <c r="C171" s="7">
        <f>IFERROR(__xludf.DUMMYFUNCTION("""COMPUTED_VALUE"""),45276.0)</f>
        <v>45276</v>
      </c>
      <c r="D171" s="8">
        <f>IFERROR(__xludf.DUMMYFUNCTION("""COMPUTED_VALUE"""),2.0957162E7)</f>
        <v>20957162</v>
      </c>
      <c r="E171" s="6" t="str">
        <f>IFERROR(__xludf.DUMMYFUNCTION("""COMPUTED_VALUE"""),"SERIES")</f>
        <v>SERIES</v>
      </c>
      <c r="F171" s="6" t="str">
        <f>IFERROR(__xludf.DUMMYFUNCTION("""COMPUTED_VALUE"""),"Comedy")</f>
        <v>Comedy</v>
      </c>
      <c r="G171" s="6">
        <f>IFERROR(__xludf.DUMMYFUNCTION("""COMPUTED_VALUE"""),106.0)</f>
        <v>106</v>
      </c>
      <c r="H171" s="6">
        <f>IFERROR(__xludf.DUMMYFUNCTION("""COMPUTED_VALUE"""),1.0)</f>
        <v>1</v>
      </c>
      <c r="I171" s="6" t="str">
        <f>IFERROR(__xludf.DUMMYFUNCTION("""COMPUTED_VALUE"""),"Tablet")</f>
        <v>Tablet</v>
      </c>
      <c r="J171" s="6" t="str">
        <f>IFERROR(__xludf.DUMMYFUNCTION("""COMPUTED_VALUE"""),"India")</f>
        <v>India</v>
      </c>
      <c r="K171" s="6" t="str">
        <f>IFERROR(__xludf.DUMMYFUNCTION("""COMPUTED_VALUE"""),"Basic")</f>
        <v>Basic</v>
      </c>
      <c r="L171" s="6">
        <f>IFERROR(__xludf.DUMMYFUNCTION("""COMPUTED_VALUE"""),0.0)</f>
        <v>0</v>
      </c>
      <c r="M171" s="6" t="str">
        <f>IFERROR(__xludf.DUMMYFUNCTION("""COMPUTED_VALUE"""),"2023-12")</f>
        <v>2023-12</v>
      </c>
    </row>
    <row r="172">
      <c r="A172" s="6" t="str">
        <f>IFERROR(__xludf.DUMMYFUNCTION("""COMPUTED_VALUE"""),"440473fb-ce93-4f81-8eec-edff35e06a05")</f>
        <v>440473fb-ce93-4f81-8eec-edff35e06a05</v>
      </c>
      <c r="B172" s="6" t="str">
        <f>IFERROR(__xludf.DUMMYFUNCTION("""COMPUTED_VALUE"""),"4d968a7e-0a65-4e38-8702-27a37a37a0a5")</f>
        <v>4d968a7e-0a65-4e38-8702-27a37a37a0a5</v>
      </c>
      <c r="C172" s="7">
        <f>IFERROR(__xludf.DUMMYFUNCTION("""COMPUTED_VALUE"""),45011.0)</f>
        <v>45011</v>
      </c>
      <c r="D172" s="8">
        <f>IFERROR(__xludf.DUMMYFUNCTION("""COMPUTED_VALUE"""),6.2856744E7)</f>
        <v>62856744</v>
      </c>
      <c r="E172" s="6" t="str">
        <f>IFERROR(__xludf.DUMMYFUNCTION("""COMPUTED_VALUE"""),"DOCUMENTARY")</f>
        <v>DOCUMENTARY</v>
      </c>
      <c r="F172" s="6" t="str">
        <f>IFERROR(__xludf.DUMMYFUNCTION("""COMPUTED_VALUE"""),"Action")</f>
        <v>Action</v>
      </c>
      <c r="G172" s="6">
        <f>IFERROR(__xludf.DUMMYFUNCTION("""COMPUTED_VALUE"""),11.0)</f>
        <v>11</v>
      </c>
      <c r="H172" s="6">
        <f>IFERROR(__xludf.DUMMYFUNCTION("""COMPUTED_VALUE"""),0.0)</f>
        <v>0</v>
      </c>
      <c r="I172" s="6" t="str">
        <f>IFERROR(__xludf.DUMMYFUNCTION("""COMPUTED_VALUE"""),"Mobile")</f>
        <v>Mobile</v>
      </c>
      <c r="J172" s="6" t="str">
        <f>IFERROR(__xludf.DUMMYFUNCTION("""COMPUTED_VALUE"""),"Usa")</f>
        <v>Usa</v>
      </c>
      <c r="K172" s="6" t="str">
        <f>IFERROR(__xludf.DUMMYFUNCTION("""COMPUTED_VALUE"""),"Premium")</f>
        <v>Premium</v>
      </c>
      <c r="L172" s="6">
        <f>IFERROR(__xludf.DUMMYFUNCTION("""COMPUTED_VALUE"""),0.0)</f>
        <v>0</v>
      </c>
      <c r="M172" s="6" t="str">
        <f>IFERROR(__xludf.DUMMYFUNCTION("""COMPUTED_VALUE"""),"2023-03")</f>
        <v>2023-03</v>
      </c>
    </row>
    <row r="173">
      <c r="A173" s="6" t="str">
        <f>IFERROR(__xludf.DUMMYFUNCTION("""COMPUTED_VALUE"""),"60ed3cae-470a-42cb-989d-031e05f6b282")</f>
        <v>60ed3cae-470a-42cb-989d-031e05f6b282</v>
      </c>
      <c r="B173" s="6" t="str">
        <f>IFERROR(__xludf.DUMMYFUNCTION("""COMPUTED_VALUE"""),"4daa7fbc-5547-4b26-a24c-77bed7d5cfdb")</f>
        <v>4daa7fbc-5547-4b26-a24c-77bed7d5cfdb</v>
      </c>
      <c r="C173" s="7">
        <f>IFERROR(__xludf.DUMMYFUNCTION("""COMPUTED_VALUE"""),44927.0)</f>
        <v>44927</v>
      </c>
      <c r="D173" s="8">
        <f>IFERROR(__xludf.DUMMYFUNCTION("""COMPUTED_VALUE"""),3.4346242E7)</f>
        <v>34346242</v>
      </c>
      <c r="E173" s="6" t="str">
        <f>IFERROR(__xludf.DUMMYFUNCTION("""COMPUTED_VALUE"""),"MOVIE")</f>
        <v>MOVIE</v>
      </c>
      <c r="F173" s="6" t="str">
        <f>IFERROR(__xludf.DUMMYFUNCTION("""COMPUTED_VALUE"""),"Thriller")</f>
        <v>Thriller</v>
      </c>
      <c r="G173" s="6">
        <f>IFERROR(__xludf.DUMMYFUNCTION("""COMPUTED_VALUE"""),121.0)</f>
        <v>121</v>
      </c>
      <c r="H173" s="6">
        <f>IFERROR(__xludf.DUMMYFUNCTION("""COMPUTED_VALUE"""),1.0)</f>
        <v>1</v>
      </c>
      <c r="I173" s="6" t="str">
        <f>IFERROR(__xludf.DUMMYFUNCTION("""COMPUTED_VALUE"""),"Smart Tv")</f>
        <v>Smart Tv</v>
      </c>
      <c r="J173" s="6" t="str">
        <f>IFERROR(__xludf.DUMMYFUNCTION("""COMPUTED_VALUE"""),"France")</f>
        <v>France</v>
      </c>
      <c r="K173" s="6" t="str">
        <f>IFERROR(__xludf.DUMMYFUNCTION("""COMPUTED_VALUE"""),"Basic")</f>
        <v>Basic</v>
      </c>
      <c r="L173" s="6">
        <f>IFERROR(__xludf.DUMMYFUNCTION("""COMPUTED_VALUE"""),0.0)</f>
        <v>0</v>
      </c>
      <c r="M173" s="6" t="str">
        <f>IFERROR(__xludf.DUMMYFUNCTION("""COMPUTED_VALUE"""),"2023-01")</f>
        <v>2023-01</v>
      </c>
    </row>
    <row r="174">
      <c r="A174" s="6" t="str">
        <f>IFERROR(__xludf.DUMMYFUNCTION("""COMPUTED_VALUE"""),"e6911734-3c3b-4ded-82c1-3e9f72b8ffe7")</f>
        <v>e6911734-3c3b-4ded-82c1-3e9f72b8ffe7</v>
      </c>
      <c r="B174" s="6" t="str">
        <f>IFERROR(__xludf.DUMMYFUNCTION("""COMPUTED_VALUE"""),"4dd68d36-6cfd-4281-a34a-06143b7443ee")</f>
        <v>4dd68d36-6cfd-4281-a34a-06143b7443ee</v>
      </c>
      <c r="C174" s="7">
        <f>IFERROR(__xludf.DUMMYFUNCTION("""COMPUTED_VALUE"""),45194.0)</f>
        <v>45194</v>
      </c>
      <c r="D174" s="8">
        <f>IFERROR(__xludf.DUMMYFUNCTION("""COMPUTED_VALUE"""),6.3911183E7)</f>
        <v>63911183</v>
      </c>
      <c r="E174" s="6" t="str">
        <f>IFERROR(__xludf.DUMMYFUNCTION("""COMPUTED_VALUE"""),"MOVIE")</f>
        <v>MOVIE</v>
      </c>
      <c r="F174" s="6" t="str">
        <f>IFERROR(__xludf.DUMMYFUNCTION("""COMPUTED_VALUE"""),"Drama")</f>
        <v>Drama</v>
      </c>
      <c r="G174" s="6">
        <f>IFERROR(__xludf.DUMMYFUNCTION("""COMPUTED_VALUE"""),93.0)</f>
        <v>93</v>
      </c>
      <c r="H174" s="6">
        <f>IFERROR(__xludf.DUMMYFUNCTION("""COMPUTED_VALUE"""),0.0)</f>
        <v>0</v>
      </c>
      <c r="I174" s="6" t="str">
        <f>IFERROR(__xludf.DUMMYFUNCTION("""COMPUTED_VALUE"""),"Tablet")</f>
        <v>Tablet</v>
      </c>
      <c r="J174" s="6" t="str">
        <f>IFERROR(__xludf.DUMMYFUNCTION("""COMPUTED_VALUE"""),"France")</f>
        <v>France</v>
      </c>
      <c r="K174" s="6" t="str">
        <f>IFERROR(__xludf.DUMMYFUNCTION("""COMPUTED_VALUE"""),"Standard")</f>
        <v>Standard</v>
      </c>
      <c r="L174" s="6">
        <f>IFERROR(__xludf.DUMMYFUNCTION("""COMPUTED_VALUE"""),0.0)</f>
        <v>0</v>
      </c>
      <c r="M174" s="6" t="str">
        <f>IFERROR(__xludf.DUMMYFUNCTION("""COMPUTED_VALUE"""),"2023-09")</f>
        <v>2023-09</v>
      </c>
    </row>
    <row r="175">
      <c r="A175" s="6" t="str">
        <f>IFERROR(__xludf.DUMMYFUNCTION("""COMPUTED_VALUE"""),"b383994c-68ee-4038-8538-fb0f53d6faeb")</f>
        <v>b383994c-68ee-4038-8538-fb0f53d6faeb</v>
      </c>
      <c r="B175" s="6" t="str">
        <f>IFERROR(__xludf.DUMMYFUNCTION("""COMPUTED_VALUE"""),"4e61b69c-a0a6-4db5-90c5-75503e7bf4d9")</f>
        <v>4e61b69c-a0a6-4db5-90c5-75503e7bf4d9</v>
      </c>
      <c r="C175" s="7">
        <f>IFERROR(__xludf.DUMMYFUNCTION("""COMPUTED_VALUE"""),45124.0)</f>
        <v>45124</v>
      </c>
      <c r="D175" s="8">
        <f>IFERROR(__xludf.DUMMYFUNCTION("""COMPUTED_VALUE"""),8.1089871E7)</f>
        <v>81089871</v>
      </c>
      <c r="E175" s="6" t="str">
        <f>IFERROR(__xludf.DUMMYFUNCTION("""COMPUTED_VALUE"""),"SERIES")</f>
        <v>SERIES</v>
      </c>
      <c r="F175" s="6" t="str">
        <f>IFERROR(__xludf.DUMMYFUNCTION("""COMPUTED_VALUE"""),"Action")</f>
        <v>Action</v>
      </c>
      <c r="G175" s="6">
        <f>IFERROR(__xludf.DUMMYFUNCTION("""COMPUTED_VALUE"""),139.0)</f>
        <v>139</v>
      </c>
      <c r="H175" s="6">
        <f>IFERROR(__xludf.DUMMYFUNCTION("""COMPUTED_VALUE"""),0.0)</f>
        <v>0</v>
      </c>
      <c r="I175" s="6" t="str">
        <f>IFERROR(__xludf.DUMMYFUNCTION("""COMPUTED_VALUE"""),"Mobile")</f>
        <v>Mobile</v>
      </c>
      <c r="J175" s="6" t="str">
        <f>IFERROR(__xludf.DUMMYFUNCTION("""COMPUTED_VALUE"""),"Germany")</f>
        <v>Germany</v>
      </c>
      <c r="K175" s="6" t="str">
        <f>IFERROR(__xludf.DUMMYFUNCTION("""COMPUTED_VALUE"""),"Premium")</f>
        <v>Premium</v>
      </c>
      <c r="L175" s="6">
        <f>IFERROR(__xludf.DUMMYFUNCTION("""COMPUTED_VALUE"""),1.0)</f>
        <v>1</v>
      </c>
      <c r="M175" s="6" t="str">
        <f>IFERROR(__xludf.DUMMYFUNCTION("""COMPUTED_VALUE"""),"2023-07")</f>
        <v>2023-07</v>
      </c>
    </row>
    <row r="176">
      <c r="A176" s="6" t="str">
        <f>IFERROR(__xludf.DUMMYFUNCTION("""COMPUTED_VALUE"""),"08f46f44-2b3a-40ca-b38d-058d4140f891")</f>
        <v>08f46f44-2b3a-40ca-b38d-058d4140f891</v>
      </c>
      <c r="B176" s="6" t="str">
        <f>IFERROR(__xludf.DUMMYFUNCTION("""COMPUTED_VALUE"""),"4e8d788a-a7b2-4d37-9d0d-bcf296c4c709")</f>
        <v>4e8d788a-a7b2-4d37-9d0d-bcf296c4c709</v>
      </c>
      <c r="C176" s="7">
        <f>IFERROR(__xludf.DUMMYFUNCTION("""COMPUTED_VALUE"""),45238.0)</f>
        <v>45238</v>
      </c>
      <c r="D176" s="8">
        <f>IFERROR(__xludf.DUMMYFUNCTION("""COMPUTED_VALUE"""),4.0334998E7)</f>
        <v>40334998</v>
      </c>
      <c r="E176" s="6" t="str">
        <f>IFERROR(__xludf.DUMMYFUNCTION("""COMPUTED_VALUE"""),"MOVIE")</f>
        <v>MOVIE</v>
      </c>
      <c r="F176" s="6" t="str">
        <f>IFERROR(__xludf.DUMMYFUNCTION("""COMPUTED_VALUE"""),"Sci-Fi")</f>
        <v>Sci-Fi</v>
      </c>
      <c r="G176" s="6">
        <f>IFERROR(__xludf.DUMMYFUNCTION("""COMPUTED_VALUE"""),109.0)</f>
        <v>109</v>
      </c>
      <c r="H176" s="6">
        <f>IFERROR(__xludf.DUMMYFUNCTION("""COMPUTED_VALUE"""),1.0)</f>
        <v>1</v>
      </c>
      <c r="I176" s="6" t="str">
        <f>IFERROR(__xludf.DUMMYFUNCTION("""COMPUTED_VALUE"""),"Desktop")</f>
        <v>Desktop</v>
      </c>
      <c r="J176" s="6" t="str">
        <f>IFERROR(__xludf.DUMMYFUNCTION("""COMPUTED_VALUE"""),"France")</f>
        <v>France</v>
      </c>
      <c r="K176" s="6" t="str">
        <f>IFERROR(__xludf.DUMMYFUNCTION("""COMPUTED_VALUE"""),"Standard")</f>
        <v>Standard</v>
      </c>
      <c r="L176" s="6">
        <f>IFERROR(__xludf.DUMMYFUNCTION("""COMPUTED_VALUE"""),0.0)</f>
        <v>0</v>
      </c>
      <c r="M176" s="6" t="str">
        <f>IFERROR(__xludf.DUMMYFUNCTION("""COMPUTED_VALUE"""),"2023-11")</f>
        <v>2023-11</v>
      </c>
    </row>
    <row r="177">
      <c r="A177" s="6" t="str">
        <f>IFERROR(__xludf.DUMMYFUNCTION("""COMPUTED_VALUE"""),"12201b28-a5a7-4d49-a22e-53c08f708e40")</f>
        <v>12201b28-a5a7-4d49-a22e-53c08f708e40</v>
      </c>
      <c r="B177" s="6" t="str">
        <f>IFERROR(__xludf.DUMMYFUNCTION("""COMPUTED_VALUE"""),"4ea48d8f-6432-4a3f-8467-36c56cd901bb")</f>
        <v>4ea48d8f-6432-4a3f-8467-36c56cd901bb</v>
      </c>
      <c r="C177" s="7">
        <f>IFERROR(__xludf.DUMMYFUNCTION("""COMPUTED_VALUE"""),45278.0)</f>
        <v>45278</v>
      </c>
      <c r="D177" s="8">
        <f>IFERROR(__xludf.DUMMYFUNCTION("""COMPUTED_VALUE"""),3.8062452E7)</f>
        <v>38062452</v>
      </c>
      <c r="E177" s="6" t="str">
        <f>IFERROR(__xludf.DUMMYFUNCTION("""COMPUTED_VALUE"""),"SERIES")</f>
        <v>SERIES</v>
      </c>
      <c r="F177" s="6" t="str">
        <f>IFERROR(__xludf.DUMMYFUNCTION("""COMPUTED_VALUE"""),"Sci-Fi")</f>
        <v>Sci-Fi</v>
      </c>
      <c r="G177" s="6">
        <f>IFERROR(__xludf.DUMMYFUNCTION("""COMPUTED_VALUE"""),99.0)</f>
        <v>99</v>
      </c>
      <c r="H177" s="6">
        <f>IFERROR(__xludf.DUMMYFUNCTION("""COMPUTED_VALUE"""),1.0)</f>
        <v>1</v>
      </c>
      <c r="I177" s="6" t="str">
        <f>IFERROR(__xludf.DUMMYFUNCTION("""COMPUTED_VALUE"""),"Tablet")</f>
        <v>Tablet</v>
      </c>
      <c r="J177" s="6" t="str">
        <f>IFERROR(__xludf.DUMMYFUNCTION("""COMPUTED_VALUE"""),"Usa")</f>
        <v>Usa</v>
      </c>
      <c r="K177" s="6" t="str">
        <f>IFERROR(__xludf.DUMMYFUNCTION("""COMPUTED_VALUE"""),"Premium")</f>
        <v>Premium</v>
      </c>
      <c r="L177" s="6">
        <f>IFERROR(__xludf.DUMMYFUNCTION("""COMPUTED_VALUE"""),0.0)</f>
        <v>0</v>
      </c>
      <c r="M177" s="6" t="str">
        <f>IFERROR(__xludf.DUMMYFUNCTION("""COMPUTED_VALUE"""),"2023-12")</f>
        <v>2023-12</v>
      </c>
    </row>
    <row r="178">
      <c r="A178" s="6" t="str">
        <f>IFERROR(__xludf.DUMMYFUNCTION("""COMPUTED_VALUE"""),"f1254b02-3b54-4015-b8ea-558f1a1ea45a")</f>
        <v>f1254b02-3b54-4015-b8ea-558f1a1ea45a</v>
      </c>
      <c r="B178" s="6" t="str">
        <f>IFERROR(__xludf.DUMMYFUNCTION("""COMPUTED_VALUE"""),"4f2be715-75ad-4be8-9807-6a1f94a704ea")</f>
        <v>4f2be715-75ad-4be8-9807-6a1f94a704ea</v>
      </c>
      <c r="C178" s="7">
        <f>IFERROR(__xludf.DUMMYFUNCTION("""COMPUTED_VALUE"""),44973.0)</f>
        <v>44973</v>
      </c>
      <c r="D178" s="8">
        <f>IFERROR(__xludf.DUMMYFUNCTION("""COMPUTED_VALUE"""),6.8309978E7)</f>
        <v>68309978</v>
      </c>
      <c r="E178" s="6" t="str">
        <f>IFERROR(__xludf.DUMMYFUNCTION("""COMPUTED_VALUE"""),"DOCUMENTARY")</f>
        <v>DOCUMENTARY</v>
      </c>
      <c r="F178" s="6" t="str">
        <f>IFERROR(__xludf.DUMMYFUNCTION("""COMPUTED_VALUE"""),"Thriller")</f>
        <v>Thriller</v>
      </c>
      <c r="G178" s="6">
        <f>IFERROR(__xludf.DUMMYFUNCTION("""COMPUTED_VALUE"""),162.0)</f>
        <v>162</v>
      </c>
      <c r="H178" s="6">
        <f>IFERROR(__xludf.DUMMYFUNCTION("""COMPUTED_VALUE"""),1.0)</f>
        <v>1</v>
      </c>
      <c r="I178" s="6" t="str">
        <f>IFERROR(__xludf.DUMMYFUNCTION("""COMPUTED_VALUE"""),"Desktop")</f>
        <v>Desktop</v>
      </c>
      <c r="J178" s="6" t="str">
        <f>IFERROR(__xludf.DUMMYFUNCTION("""COMPUTED_VALUE"""),"France")</f>
        <v>France</v>
      </c>
      <c r="K178" s="6" t="str">
        <f>IFERROR(__xludf.DUMMYFUNCTION("""COMPUTED_VALUE"""),"Standard")</f>
        <v>Standard</v>
      </c>
      <c r="L178" s="6">
        <f>IFERROR(__xludf.DUMMYFUNCTION("""COMPUTED_VALUE"""),0.0)</f>
        <v>0</v>
      </c>
      <c r="M178" s="6" t="str">
        <f>IFERROR(__xludf.DUMMYFUNCTION("""COMPUTED_VALUE"""),"2023-02")</f>
        <v>2023-02</v>
      </c>
    </row>
    <row r="179">
      <c r="A179" s="6" t="str">
        <f>IFERROR(__xludf.DUMMYFUNCTION("""COMPUTED_VALUE"""),"b6010214-6273-433d-abee-670f554e189d")</f>
        <v>b6010214-6273-433d-abee-670f554e189d</v>
      </c>
      <c r="B179" s="6" t="str">
        <f>IFERROR(__xludf.DUMMYFUNCTION("""COMPUTED_VALUE"""),"4f3efa5e-09d5-4d63-a001-01560aa728af")</f>
        <v>4f3efa5e-09d5-4d63-a001-01560aa728af</v>
      </c>
      <c r="C179" s="7">
        <f>IFERROR(__xludf.DUMMYFUNCTION("""COMPUTED_VALUE"""),45049.0)</f>
        <v>45049</v>
      </c>
      <c r="D179" s="8">
        <f>IFERROR(__xludf.DUMMYFUNCTION("""COMPUTED_VALUE"""),9.6301821E7)</f>
        <v>96301821</v>
      </c>
      <c r="E179" s="6" t="str">
        <f>IFERROR(__xludf.DUMMYFUNCTION("""COMPUTED_VALUE"""),"DOCUMENTARY")</f>
        <v>DOCUMENTARY</v>
      </c>
      <c r="F179" s="6" t="str">
        <f>IFERROR(__xludf.DUMMYFUNCTION("""COMPUTED_VALUE"""),"Thriller")</f>
        <v>Thriller</v>
      </c>
      <c r="G179" s="6">
        <f>IFERROR(__xludf.DUMMYFUNCTION("""COMPUTED_VALUE"""),85.0)</f>
        <v>85</v>
      </c>
      <c r="H179" s="6">
        <f>IFERROR(__xludf.DUMMYFUNCTION("""COMPUTED_VALUE"""),1.0)</f>
        <v>1</v>
      </c>
      <c r="I179" s="6" t="str">
        <f>IFERROR(__xludf.DUMMYFUNCTION("""COMPUTED_VALUE"""),"Tablet")</f>
        <v>Tablet</v>
      </c>
      <c r="J179" s="6" t="str">
        <f>IFERROR(__xludf.DUMMYFUNCTION("""COMPUTED_VALUE"""),"France")</f>
        <v>France</v>
      </c>
      <c r="K179" s="6" t="str">
        <f>IFERROR(__xludf.DUMMYFUNCTION("""COMPUTED_VALUE"""),"Basic")</f>
        <v>Basic</v>
      </c>
      <c r="L179" s="6">
        <f>IFERROR(__xludf.DUMMYFUNCTION("""COMPUTED_VALUE"""),0.0)</f>
        <v>0</v>
      </c>
      <c r="M179" s="6" t="str">
        <f>IFERROR(__xludf.DUMMYFUNCTION("""COMPUTED_VALUE"""),"2023-05")</f>
        <v>2023-05</v>
      </c>
    </row>
    <row r="180">
      <c r="A180" s="6" t="str">
        <f>IFERROR(__xludf.DUMMYFUNCTION("""COMPUTED_VALUE"""),"761ad23e-f36d-4e9c-bb27-bd7749d83dc4")</f>
        <v>761ad23e-f36d-4e9c-bb27-bd7749d83dc4</v>
      </c>
      <c r="B180" s="6" t="str">
        <f>IFERROR(__xludf.DUMMYFUNCTION("""COMPUTED_VALUE"""),"4fd14621-a9f9-499a-bece-03004984bf02")</f>
        <v>4fd14621-a9f9-499a-bece-03004984bf02</v>
      </c>
      <c r="C180" s="7">
        <f>IFERROR(__xludf.DUMMYFUNCTION("""COMPUTED_VALUE"""),45111.0)</f>
        <v>45111</v>
      </c>
      <c r="D180" s="8">
        <f>IFERROR(__xludf.DUMMYFUNCTION("""COMPUTED_VALUE"""),5.7439327E7)</f>
        <v>57439327</v>
      </c>
      <c r="E180" s="6" t="str">
        <f>IFERROR(__xludf.DUMMYFUNCTION("""COMPUTED_VALUE"""),"MOVIE")</f>
        <v>MOVIE</v>
      </c>
      <c r="F180" s="6" t="str">
        <f>IFERROR(__xludf.DUMMYFUNCTION("""COMPUTED_VALUE"""),"Comedy")</f>
        <v>Comedy</v>
      </c>
      <c r="G180" s="6">
        <f>IFERROR(__xludf.DUMMYFUNCTION("""COMPUTED_VALUE"""),132.0)</f>
        <v>132</v>
      </c>
      <c r="H180" s="6">
        <f>IFERROR(__xludf.DUMMYFUNCTION("""COMPUTED_VALUE"""),0.0)</f>
        <v>0</v>
      </c>
      <c r="I180" s="6" t="str">
        <f>IFERROR(__xludf.DUMMYFUNCTION("""COMPUTED_VALUE"""),"Desktop")</f>
        <v>Desktop</v>
      </c>
      <c r="J180" s="6" t="str">
        <f>IFERROR(__xludf.DUMMYFUNCTION("""COMPUTED_VALUE"""),"Usa")</f>
        <v>Usa</v>
      </c>
      <c r="K180" s="6" t="str">
        <f>IFERROR(__xludf.DUMMYFUNCTION("""COMPUTED_VALUE"""),"Basic")</f>
        <v>Basic</v>
      </c>
      <c r="L180" s="6">
        <f>IFERROR(__xludf.DUMMYFUNCTION("""COMPUTED_VALUE"""),0.0)</f>
        <v>0</v>
      </c>
      <c r="M180" s="6" t="str">
        <f>IFERROR(__xludf.DUMMYFUNCTION("""COMPUTED_VALUE"""),"2023-07")</f>
        <v>2023-07</v>
      </c>
    </row>
    <row r="181">
      <c r="A181" s="6" t="str">
        <f>IFERROR(__xludf.DUMMYFUNCTION("""COMPUTED_VALUE"""),"d9703f51-7866-451c-a267-2c747789ab37")</f>
        <v>d9703f51-7866-451c-a267-2c747789ab37</v>
      </c>
      <c r="B181" s="6" t="str">
        <f>IFERROR(__xludf.DUMMYFUNCTION("""COMPUTED_VALUE"""),"503311e0-86b3-4fe1-819f-4705c38950bb")</f>
        <v>503311e0-86b3-4fe1-819f-4705c38950bb</v>
      </c>
      <c r="C181" s="7">
        <f>IFERROR(__xludf.DUMMYFUNCTION("""COMPUTED_VALUE"""),45289.0)</f>
        <v>45289</v>
      </c>
      <c r="D181" s="8">
        <f>IFERROR(__xludf.DUMMYFUNCTION("""COMPUTED_VALUE"""),2.4982009E7)</f>
        <v>24982009</v>
      </c>
      <c r="E181" s="6" t="str">
        <f>IFERROR(__xludf.DUMMYFUNCTION("""COMPUTED_VALUE"""),"MOVIE")</f>
        <v>MOVIE</v>
      </c>
      <c r="F181" s="6" t="str">
        <f>IFERROR(__xludf.DUMMYFUNCTION("""COMPUTED_VALUE"""),"Drama")</f>
        <v>Drama</v>
      </c>
      <c r="G181" s="6">
        <f>IFERROR(__xludf.DUMMYFUNCTION("""COMPUTED_VALUE"""),169.0)</f>
        <v>169</v>
      </c>
      <c r="H181" s="6">
        <f>IFERROR(__xludf.DUMMYFUNCTION("""COMPUTED_VALUE"""),0.0)</f>
        <v>0</v>
      </c>
      <c r="I181" s="6" t="str">
        <f>IFERROR(__xludf.DUMMYFUNCTION("""COMPUTED_VALUE"""),"Smart Tv")</f>
        <v>Smart Tv</v>
      </c>
      <c r="J181" s="6" t="str">
        <f>IFERROR(__xludf.DUMMYFUNCTION("""COMPUTED_VALUE"""),"Usa")</f>
        <v>Usa</v>
      </c>
      <c r="K181" s="6" t="str">
        <f>IFERROR(__xludf.DUMMYFUNCTION("""COMPUTED_VALUE"""),"Basic")</f>
        <v>Basic</v>
      </c>
      <c r="L181" s="6">
        <f>IFERROR(__xludf.DUMMYFUNCTION("""COMPUTED_VALUE"""),0.0)</f>
        <v>0</v>
      </c>
      <c r="M181" s="6" t="str">
        <f>IFERROR(__xludf.DUMMYFUNCTION("""COMPUTED_VALUE"""),"2023-12")</f>
        <v>2023-12</v>
      </c>
    </row>
    <row r="182">
      <c r="A182" s="6" t="str">
        <f>IFERROR(__xludf.DUMMYFUNCTION("""COMPUTED_VALUE"""),"c106ac8f-3108-427b-9827-1de7f929fb27")</f>
        <v>c106ac8f-3108-427b-9827-1de7f929fb27</v>
      </c>
      <c r="B182" s="6" t="str">
        <f>IFERROR(__xludf.DUMMYFUNCTION("""COMPUTED_VALUE"""),"506a43a1-76e7-4da1-bcc5-a891fe307b83")</f>
        <v>506a43a1-76e7-4da1-bcc5-a891fe307b83</v>
      </c>
      <c r="C182" s="7">
        <f>IFERROR(__xludf.DUMMYFUNCTION("""COMPUTED_VALUE"""),45244.0)</f>
        <v>45244</v>
      </c>
      <c r="D182" s="8">
        <f>IFERROR(__xludf.DUMMYFUNCTION("""COMPUTED_VALUE"""),1.431168E7)</f>
        <v>14311680</v>
      </c>
      <c r="E182" s="6" t="str">
        <f>IFERROR(__xludf.DUMMYFUNCTION("""COMPUTED_VALUE"""),"MOVIE")</f>
        <v>MOVIE</v>
      </c>
      <c r="F182" s="6" t="str">
        <f>IFERROR(__xludf.DUMMYFUNCTION("""COMPUTED_VALUE"""),"Comedy")</f>
        <v>Comedy</v>
      </c>
      <c r="G182" s="6">
        <f>IFERROR(__xludf.DUMMYFUNCTION("""COMPUTED_VALUE"""),97.0)</f>
        <v>97</v>
      </c>
      <c r="H182" s="6">
        <f>IFERROR(__xludf.DUMMYFUNCTION("""COMPUTED_VALUE"""),1.0)</f>
        <v>1</v>
      </c>
      <c r="I182" s="6" t="str">
        <f>IFERROR(__xludf.DUMMYFUNCTION("""COMPUTED_VALUE"""),"Smart Tv")</f>
        <v>Smart Tv</v>
      </c>
      <c r="J182" s="6" t="str">
        <f>IFERROR(__xludf.DUMMYFUNCTION("""COMPUTED_VALUE"""),"Germany")</f>
        <v>Germany</v>
      </c>
      <c r="K182" s="6" t="str">
        <f>IFERROR(__xludf.DUMMYFUNCTION("""COMPUTED_VALUE"""),"Premium")</f>
        <v>Premium</v>
      </c>
      <c r="L182" s="6">
        <f>IFERROR(__xludf.DUMMYFUNCTION("""COMPUTED_VALUE"""),0.0)</f>
        <v>0</v>
      </c>
      <c r="M182" s="6" t="str">
        <f>IFERROR(__xludf.DUMMYFUNCTION("""COMPUTED_VALUE"""),"2023-11")</f>
        <v>2023-11</v>
      </c>
    </row>
    <row r="183">
      <c r="A183" s="6" t="str">
        <f>IFERROR(__xludf.DUMMYFUNCTION("""COMPUTED_VALUE"""),"c3b9996f-cfe3-4f57-9675-50223d11c0b2")</f>
        <v>c3b9996f-cfe3-4f57-9675-50223d11c0b2</v>
      </c>
      <c r="B183" s="6" t="str">
        <f>IFERROR(__xludf.DUMMYFUNCTION("""COMPUTED_VALUE"""),"50ac8066-6726-4be4-9854-14bec131ae69")</f>
        <v>50ac8066-6726-4be4-9854-14bec131ae69</v>
      </c>
      <c r="C183" s="7">
        <f>IFERROR(__xludf.DUMMYFUNCTION("""COMPUTED_VALUE"""),45213.0)</f>
        <v>45213</v>
      </c>
      <c r="D183" s="8">
        <f>IFERROR(__xludf.DUMMYFUNCTION("""COMPUTED_VALUE"""),8.5837638E7)</f>
        <v>85837638</v>
      </c>
      <c r="E183" s="6" t="str">
        <f>IFERROR(__xludf.DUMMYFUNCTION("""COMPUTED_VALUE"""),"SERIES")</f>
        <v>SERIES</v>
      </c>
      <c r="F183" s="6" t="str">
        <f>IFERROR(__xludf.DUMMYFUNCTION("""COMPUTED_VALUE"""),"Action")</f>
        <v>Action</v>
      </c>
      <c r="G183" s="6">
        <f>IFERROR(__xludf.DUMMYFUNCTION("""COMPUTED_VALUE"""),178.0)</f>
        <v>178</v>
      </c>
      <c r="H183" s="6">
        <f>IFERROR(__xludf.DUMMYFUNCTION("""COMPUTED_VALUE"""),1.0)</f>
        <v>1</v>
      </c>
      <c r="I183" s="6" t="str">
        <f>IFERROR(__xludf.DUMMYFUNCTION("""COMPUTED_VALUE"""),"Desktop")</f>
        <v>Desktop</v>
      </c>
      <c r="J183" s="6" t="str">
        <f>IFERROR(__xludf.DUMMYFUNCTION("""COMPUTED_VALUE"""),"Uk")</f>
        <v>Uk</v>
      </c>
      <c r="K183" s="6" t="str">
        <f>IFERROR(__xludf.DUMMYFUNCTION("""COMPUTED_VALUE"""),"Basic")</f>
        <v>Basic</v>
      </c>
      <c r="L183" s="6">
        <f>IFERROR(__xludf.DUMMYFUNCTION("""COMPUTED_VALUE"""),0.0)</f>
        <v>0</v>
      </c>
      <c r="M183" s="6" t="str">
        <f>IFERROR(__xludf.DUMMYFUNCTION("""COMPUTED_VALUE"""),"2023-10")</f>
        <v>2023-10</v>
      </c>
    </row>
    <row r="184">
      <c r="A184" s="6" t="str">
        <f>IFERROR(__xludf.DUMMYFUNCTION("""COMPUTED_VALUE"""),"8caa33e2-e16b-4a51-b7e6-02f65e573ddd")</f>
        <v>8caa33e2-e16b-4a51-b7e6-02f65e573ddd</v>
      </c>
      <c r="B184" s="6" t="str">
        <f>IFERROR(__xludf.DUMMYFUNCTION("""COMPUTED_VALUE"""),"52bbcf37-1e92-4b84-898d-49b63edb1746")</f>
        <v>52bbcf37-1e92-4b84-898d-49b63edb1746</v>
      </c>
      <c r="C184" s="7">
        <f>IFERROR(__xludf.DUMMYFUNCTION("""COMPUTED_VALUE"""),45220.0)</f>
        <v>45220</v>
      </c>
      <c r="D184" s="8">
        <f>IFERROR(__xludf.DUMMYFUNCTION("""COMPUTED_VALUE"""),5.4504769E7)</f>
        <v>54504769</v>
      </c>
      <c r="E184" s="6" t="str">
        <f>IFERROR(__xludf.DUMMYFUNCTION("""COMPUTED_VALUE"""),"MOVIE")</f>
        <v>MOVIE</v>
      </c>
      <c r="F184" s="6" t="str">
        <f>IFERROR(__xludf.DUMMYFUNCTION("""COMPUTED_VALUE"""),"Action")</f>
        <v>Action</v>
      </c>
      <c r="G184" s="6">
        <f>IFERROR(__xludf.DUMMYFUNCTION("""COMPUTED_VALUE"""),102.0)</f>
        <v>102</v>
      </c>
      <c r="H184" s="6">
        <f>IFERROR(__xludf.DUMMYFUNCTION("""COMPUTED_VALUE"""),1.0)</f>
        <v>1</v>
      </c>
      <c r="I184" s="6" t="str">
        <f>IFERROR(__xludf.DUMMYFUNCTION("""COMPUTED_VALUE"""),"Tablet")</f>
        <v>Tablet</v>
      </c>
      <c r="J184" s="6" t="str">
        <f>IFERROR(__xludf.DUMMYFUNCTION("""COMPUTED_VALUE"""),"Germany")</f>
        <v>Germany</v>
      </c>
      <c r="K184" s="6" t="str">
        <f>IFERROR(__xludf.DUMMYFUNCTION("""COMPUTED_VALUE"""),"Premium")</f>
        <v>Premium</v>
      </c>
      <c r="L184" s="6">
        <f>IFERROR(__xludf.DUMMYFUNCTION("""COMPUTED_VALUE"""),0.0)</f>
        <v>0</v>
      </c>
      <c r="M184" s="6" t="str">
        <f>IFERROR(__xludf.DUMMYFUNCTION("""COMPUTED_VALUE"""),"2023-10")</f>
        <v>2023-10</v>
      </c>
    </row>
    <row r="185">
      <c r="A185" s="6" t="str">
        <f>IFERROR(__xludf.DUMMYFUNCTION("""COMPUTED_VALUE"""),"897ad387-171c-491a-93f0-c3c9c20da5bd")</f>
        <v>897ad387-171c-491a-93f0-c3c9c20da5bd</v>
      </c>
      <c r="B185" s="6" t="str">
        <f>IFERROR(__xludf.DUMMYFUNCTION("""COMPUTED_VALUE"""),"531cc2ac-2f4e-4ca2-8ec6-510374f232a6")</f>
        <v>531cc2ac-2f4e-4ca2-8ec6-510374f232a6</v>
      </c>
      <c r="C185" s="7">
        <f>IFERROR(__xludf.DUMMYFUNCTION("""COMPUTED_VALUE"""),44955.0)</f>
        <v>44955</v>
      </c>
      <c r="D185" s="8">
        <f>IFERROR(__xludf.DUMMYFUNCTION("""COMPUTED_VALUE"""),9.1005304E7)</f>
        <v>91005304</v>
      </c>
      <c r="E185" s="6" t="str">
        <f>IFERROR(__xludf.DUMMYFUNCTION("""COMPUTED_VALUE"""),"DOCUMENTARY")</f>
        <v>DOCUMENTARY</v>
      </c>
      <c r="F185" s="6" t="str">
        <f>IFERROR(__xludf.DUMMYFUNCTION("""COMPUTED_VALUE"""),"Drama")</f>
        <v>Drama</v>
      </c>
      <c r="G185" s="6">
        <f>IFERROR(__xludf.DUMMYFUNCTION("""COMPUTED_VALUE"""),8.0)</f>
        <v>8</v>
      </c>
      <c r="H185" s="6">
        <f>IFERROR(__xludf.DUMMYFUNCTION("""COMPUTED_VALUE"""),1.0)</f>
        <v>1</v>
      </c>
      <c r="I185" s="6" t="str">
        <f>IFERROR(__xludf.DUMMYFUNCTION("""COMPUTED_VALUE"""),"Tablet")</f>
        <v>Tablet</v>
      </c>
      <c r="J185" s="6" t="str">
        <f>IFERROR(__xludf.DUMMYFUNCTION("""COMPUTED_VALUE"""),"France")</f>
        <v>France</v>
      </c>
      <c r="K185" s="6" t="str">
        <f>IFERROR(__xludf.DUMMYFUNCTION("""COMPUTED_VALUE"""),"Basic")</f>
        <v>Basic</v>
      </c>
      <c r="L185" s="6">
        <f>IFERROR(__xludf.DUMMYFUNCTION("""COMPUTED_VALUE"""),1.0)</f>
        <v>1</v>
      </c>
      <c r="M185" s="6" t="str">
        <f>IFERROR(__xludf.DUMMYFUNCTION("""COMPUTED_VALUE"""),"2023-01")</f>
        <v>2023-01</v>
      </c>
    </row>
    <row r="186">
      <c r="A186" s="6" t="str">
        <f>IFERROR(__xludf.DUMMYFUNCTION("""COMPUTED_VALUE"""),"acb76fb8-a022-43b7-83c0-6d98422b80ef")</f>
        <v>acb76fb8-a022-43b7-83c0-6d98422b80ef</v>
      </c>
      <c r="B186" s="6" t="str">
        <f>IFERROR(__xludf.DUMMYFUNCTION("""COMPUTED_VALUE"""),"53295c46-1fa9-47e3-b5df-1a9da2faf159")</f>
        <v>53295c46-1fa9-47e3-b5df-1a9da2faf159</v>
      </c>
      <c r="C186" s="7">
        <f>IFERROR(__xludf.DUMMYFUNCTION("""COMPUTED_VALUE"""),45219.0)</f>
        <v>45219</v>
      </c>
      <c r="D186" s="8">
        <f>IFERROR(__xludf.DUMMYFUNCTION("""COMPUTED_VALUE"""),8.0536253E7)</f>
        <v>80536253</v>
      </c>
      <c r="E186" s="6" t="str">
        <f>IFERROR(__xludf.DUMMYFUNCTION("""COMPUTED_VALUE"""),"SERIES")</f>
        <v>SERIES</v>
      </c>
      <c r="F186" s="6" t="str">
        <f>IFERROR(__xludf.DUMMYFUNCTION("""COMPUTED_VALUE"""),"Sci-Fi")</f>
        <v>Sci-Fi</v>
      </c>
      <c r="G186" s="6">
        <f>IFERROR(__xludf.DUMMYFUNCTION("""COMPUTED_VALUE"""),89.0)</f>
        <v>89</v>
      </c>
      <c r="H186" s="6">
        <f>IFERROR(__xludf.DUMMYFUNCTION("""COMPUTED_VALUE"""),1.0)</f>
        <v>1</v>
      </c>
      <c r="I186" s="6" t="str">
        <f>IFERROR(__xludf.DUMMYFUNCTION("""COMPUTED_VALUE"""),"Smart Tv")</f>
        <v>Smart Tv</v>
      </c>
      <c r="J186" s="6" t="str">
        <f>IFERROR(__xludf.DUMMYFUNCTION("""COMPUTED_VALUE"""),"France")</f>
        <v>France</v>
      </c>
      <c r="K186" s="6" t="str">
        <f>IFERROR(__xludf.DUMMYFUNCTION("""COMPUTED_VALUE"""),"Premium")</f>
        <v>Premium</v>
      </c>
      <c r="L186" s="6">
        <f>IFERROR(__xludf.DUMMYFUNCTION("""COMPUTED_VALUE"""),0.0)</f>
        <v>0</v>
      </c>
      <c r="M186" s="6" t="str">
        <f>IFERROR(__xludf.DUMMYFUNCTION("""COMPUTED_VALUE"""),"2023-10")</f>
        <v>2023-10</v>
      </c>
    </row>
    <row r="187">
      <c r="A187" s="6" t="str">
        <f>IFERROR(__xludf.DUMMYFUNCTION("""COMPUTED_VALUE"""),"07546082-1ed3-4bb3-93a1-ae0e0b711be7")</f>
        <v>07546082-1ed3-4bb3-93a1-ae0e0b711be7</v>
      </c>
      <c r="B187" s="6" t="str">
        <f>IFERROR(__xludf.DUMMYFUNCTION("""COMPUTED_VALUE"""),"534ccba7-7dc7-4782-bbfe-5d2ca0e86776")</f>
        <v>534ccba7-7dc7-4782-bbfe-5d2ca0e86776</v>
      </c>
      <c r="C187" s="7">
        <f>IFERROR(__xludf.DUMMYFUNCTION("""COMPUTED_VALUE"""),45163.0)</f>
        <v>45163</v>
      </c>
      <c r="D187" s="8">
        <f>IFERROR(__xludf.DUMMYFUNCTION("""COMPUTED_VALUE"""),5.7266374E7)</f>
        <v>57266374</v>
      </c>
      <c r="E187" s="6" t="str">
        <f>IFERROR(__xludf.DUMMYFUNCTION("""COMPUTED_VALUE"""),"SERIES")</f>
        <v>SERIES</v>
      </c>
      <c r="F187" s="6" t="str">
        <f>IFERROR(__xludf.DUMMYFUNCTION("""COMPUTED_VALUE"""),"Comedy")</f>
        <v>Comedy</v>
      </c>
      <c r="G187" s="6">
        <f>IFERROR(__xludf.DUMMYFUNCTION("""COMPUTED_VALUE"""),57.0)</f>
        <v>57</v>
      </c>
      <c r="H187" s="6">
        <f>IFERROR(__xludf.DUMMYFUNCTION("""COMPUTED_VALUE"""),1.0)</f>
        <v>1</v>
      </c>
      <c r="I187" s="6" t="str">
        <f>IFERROR(__xludf.DUMMYFUNCTION("""COMPUTED_VALUE"""),"Desktop")</f>
        <v>Desktop</v>
      </c>
      <c r="J187" s="6" t="str">
        <f>IFERROR(__xludf.DUMMYFUNCTION("""COMPUTED_VALUE"""),"Germany")</f>
        <v>Germany</v>
      </c>
      <c r="K187" s="6" t="str">
        <f>IFERROR(__xludf.DUMMYFUNCTION("""COMPUTED_VALUE"""),"Premium")</f>
        <v>Premium</v>
      </c>
      <c r="L187" s="6">
        <f>IFERROR(__xludf.DUMMYFUNCTION("""COMPUTED_VALUE"""),0.0)</f>
        <v>0</v>
      </c>
      <c r="M187" s="6" t="str">
        <f>IFERROR(__xludf.DUMMYFUNCTION("""COMPUTED_VALUE"""),"2023-08")</f>
        <v>2023-08</v>
      </c>
    </row>
    <row r="188">
      <c r="A188" s="6" t="str">
        <f>IFERROR(__xludf.DUMMYFUNCTION("""COMPUTED_VALUE"""),"3f09c013-85bd-4fb1-bf36-0534082e2655")</f>
        <v>3f09c013-85bd-4fb1-bf36-0534082e2655</v>
      </c>
      <c r="B188" s="6" t="str">
        <f>IFERROR(__xludf.DUMMYFUNCTION("""COMPUTED_VALUE"""),"53d8f655-7656-4652-839d-ff19f4213a67")</f>
        <v>53d8f655-7656-4652-839d-ff19f4213a67</v>
      </c>
      <c r="C188" s="7">
        <f>IFERROR(__xludf.DUMMYFUNCTION("""COMPUTED_VALUE"""),45194.0)</f>
        <v>45194</v>
      </c>
      <c r="D188" s="8">
        <f>IFERROR(__xludf.DUMMYFUNCTION("""COMPUTED_VALUE"""),1.608382E7)</f>
        <v>16083820</v>
      </c>
      <c r="E188" s="6" t="str">
        <f>IFERROR(__xludf.DUMMYFUNCTION("""COMPUTED_VALUE"""),"DOCUMENTARY")</f>
        <v>DOCUMENTARY</v>
      </c>
      <c r="F188" s="6" t="str">
        <f>IFERROR(__xludf.DUMMYFUNCTION("""COMPUTED_VALUE"""),"Sci-Fi")</f>
        <v>Sci-Fi</v>
      </c>
      <c r="G188" s="6">
        <f>IFERROR(__xludf.DUMMYFUNCTION("""COMPUTED_VALUE"""),138.0)</f>
        <v>138</v>
      </c>
      <c r="H188" s="6">
        <f>IFERROR(__xludf.DUMMYFUNCTION("""COMPUTED_VALUE"""),1.0)</f>
        <v>1</v>
      </c>
      <c r="I188" s="6" t="str">
        <f>IFERROR(__xludf.DUMMYFUNCTION("""COMPUTED_VALUE"""),"Tablet")</f>
        <v>Tablet</v>
      </c>
      <c r="J188" s="6" t="str">
        <f>IFERROR(__xludf.DUMMYFUNCTION("""COMPUTED_VALUE"""),"France")</f>
        <v>France</v>
      </c>
      <c r="K188" s="6" t="str">
        <f>IFERROR(__xludf.DUMMYFUNCTION("""COMPUTED_VALUE"""),"Premium")</f>
        <v>Premium</v>
      </c>
      <c r="L188" s="6">
        <f>IFERROR(__xludf.DUMMYFUNCTION("""COMPUTED_VALUE"""),0.0)</f>
        <v>0</v>
      </c>
      <c r="M188" s="6" t="str">
        <f>IFERROR(__xludf.DUMMYFUNCTION("""COMPUTED_VALUE"""),"2023-09")</f>
        <v>2023-09</v>
      </c>
    </row>
    <row r="189">
      <c r="A189" s="6" t="str">
        <f>IFERROR(__xludf.DUMMYFUNCTION("""COMPUTED_VALUE"""),"6e7847fc-e243-4177-af67-35f08f7cbc7f")</f>
        <v>6e7847fc-e243-4177-af67-35f08f7cbc7f</v>
      </c>
      <c r="B189" s="6" t="str">
        <f>IFERROR(__xludf.DUMMYFUNCTION("""COMPUTED_VALUE"""),"5431cb7a-0554-4ed0-b649-2aa4167bf3f0")</f>
        <v>5431cb7a-0554-4ed0-b649-2aa4167bf3f0</v>
      </c>
      <c r="C189" s="7">
        <f>IFERROR(__xludf.DUMMYFUNCTION("""COMPUTED_VALUE"""),44966.0)</f>
        <v>44966</v>
      </c>
      <c r="D189" s="8">
        <f>IFERROR(__xludf.DUMMYFUNCTION("""COMPUTED_VALUE"""),1.6729469E7)</f>
        <v>16729469</v>
      </c>
      <c r="E189" s="6" t="str">
        <f>IFERROR(__xludf.DUMMYFUNCTION("""COMPUTED_VALUE"""),"DOCUMENTARY")</f>
        <v>DOCUMENTARY</v>
      </c>
      <c r="F189" s="6" t="str">
        <f>IFERROR(__xludf.DUMMYFUNCTION("""COMPUTED_VALUE"""),"Action")</f>
        <v>Action</v>
      </c>
      <c r="G189" s="6">
        <f>IFERROR(__xludf.DUMMYFUNCTION("""COMPUTED_VALUE"""),95.0)</f>
        <v>95</v>
      </c>
      <c r="H189" s="6">
        <f>IFERROR(__xludf.DUMMYFUNCTION("""COMPUTED_VALUE"""),0.0)</f>
        <v>0</v>
      </c>
      <c r="I189" s="6" t="str">
        <f>IFERROR(__xludf.DUMMYFUNCTION("""COMPUTED_VALUE"""),"Desktop")</f>
        <v>Desktop</v>
      </c>
      <c r="J189" s="6" t="str">
        <f>IFERROR(__xludf.DUMMYFUNCTION("""COMPUTED_VALUE"""),"France")</f>
        <v>France</v>
      </c>
      <c r="K189" s="6" t="str">
        <f>IFERROR(__xludf.DUMMYFUNCTION("""COMPUTED_VALUE"""),"Premium")</f>
        <v>Premium</v>
      </c>
      <c r="L189" s="6">
        <f>IFERROR(__xludf.DUMMYFUNCTION("""COMPUTED_VALUE"""),0.0)</f>
        <v>0</v>
      </c>
      <c r="M189" s="6" t="str">
        <f>IFERROR(__xludf.DUMMYFUNCTION("""COMPUTED_VALUE"""),"2023-02")</f>
        <v>2023-02</v>
      </c>
    </row>
    <row r="190">
      <c r="A190" s="6" t="str">
        <f>IFERROR(__xludf.DUMMYFUNCTION("""COMPUTED_VALUE"""),"67b7e14c-c9c5-4d9f-9016-31d210ae2362")</f>
        <v>67b7e14c-c9c5-4d9f-9016-31d210ae2362</v>
      </c>
      <c r="B190" s="6" t="str">
        <f>IFERROR(__xludf.DUMMYFUNCTION("""COMPUTED_VALUE"""),"54329ddc-0c74-4491-b078-6fd7043600d9")</f>
        <v>54329ddc-0c74-4491-b078-6fd7043600d9</v>
      </c>
      <c r="C190" s="7">
        <f>IFERROR(__xludf.DUMMYFUNCTION("""COMPUTED_VALUE"""),45258.0)</f>
        <v>45258</v>
      </c>
      <c r="D190" s="8">
        <f>IFERROR(__xludf.DUMMYFUNCTION("""COMPUTED_VALUE"""),5530861.0)</f>
        <v>5530861</v>
      </c>
      <c r="E190" s="6" t="str">
        <f>IFERROR(__xludf.DUMMYFUNCTION("""COMPUTED_VALUE"""),"MOVIE")</f>
        <v>MOVIE</v>
      </c>
      <c r="F190" s="6" t="str">
        <f>IFERROR(__xludf.DUMMYFUNCTION("""COMPUTED_VALUE"""),"Thriller")</f>
        <v>Thriller</v>
      </c>
      <c r="G190" s="6">
        <f>IFERROR(__xludf.DUMMYFUNCTION("""COMPUTED_VALUE"""),84.0)</f>
        <v>84</v>
      </c>
      <c r="H190" s="6">
        <f>IFERROR(__xludf.DUMMYFUNCTION("""COMPUTED_VALUE"""),1.0)</f>
        <v>1</v>
      </c>
      <c r="I190" s="6" t="str">
        <f>IFERROR(__xludf.DUMMYFUNCTION("""COMPUTED_VALUE"""),"Smart Tv")</f>
        <v>Smart Tv</v>
      </c>
      <c r="J190" s="6" t="str">
        <f>IFERROR(__xludf.DUMMYFUNCTION("""COMPUTED_VALUE"""),"Usa")</f>
        <v>Usa</v>
      </c>
      <c r="K190" s="6" t="str">
        <f>IFERROR(__xludf.DUMMYFUNCTION("""COMPUTED_VALUE"""),"Premium")</f>
        <v>Premium</v>
      </c>
      <c r="L190" s="6">
        <f>IFERROR(__xludf.DUMMYFUNCTION("""COMPUTED_VALUE"""),0.0)</f>
        <v>0</v>
      </c>
      <c r="M190" s="6" t="str">
        <f>IFERROR(__xludf.DUMMYFUNCTION("""COMPUTED_VALUE"""),"2023-11")</f>
        <v>2023-11</v>
      </c>
    </row>
    <row r="191">
      <c r="A191" s="6" t="str">
        <f>IFERROR(__xludf.DUMMYFUNCTION("""COMPUTED_VALUE"""),"a45fa9d9-92a9-41e6-b1cd-9bb74d5149a5")</f>
        <v>a45fa9d9-92a9-41e6-b1cd-9bb74d5149a5</v>
      </c>
      <c r="B191" s="6" t="str">
        <f>IFERROR(__xludf.DUMMYFUNCTION("""COMPUTED_VALUE"""),"54723fd0-c3e4-4cf0-81a1-b0367b4466e5")</f>
        <v>54723fd0-c3e4-4cf0-81a1-b0367b4466e5</v>
      </c>
      <c r="C191" s="7">
        <f>IFERROR(__xludf.DUMMYFUNCTION("""COMPUTED_VALUE"""),45251.0)</f>
        <v>45251</v>
      </c>
      <c r="D191" s="8">
        <f>IFERROR(__xludf.DUMMYFUNCTION("""COMPUTED_VALUE"""),9609198.0)</f>
        <v>9609198</v>
      </c>
      <c r="E191" s="6" t="str">
        <f>IFERROR(__xludf.DUMMYFUNCTION("""COMPUTED_VALUE"""),"SERIES")</f>
        <v>SERIES</v>
      </c>
      <c r="F191" s="6" t="str">
        <f>IFERROR(__xludf.DUMMYFUNCTION("""COMPUTED_VALUE"""),"Drama")</f>
        <v>Drama</v>
      </c>
      <c r="G191" s="6">
        <f>IFERROR(__xludf.DUMMYFUNCTION("""COMPUTED_VALUE"""),99.0)</f>
        <v>99</v>
      </c>
      <c r="H191" s="6">
        <f>IFERROR(__xludf.DUMMYFUNCTION("""COMPUTED_VALUE"""),1.0)</f>
        <v>1</v>
      </c>
      <c r="I191" s="6" t="str">
        <f>IFERROR(__xludf.DUMMYFUNCTION("""COMPUTED_VALUE"""),"Smart Tv")</f>
        <v>Smart Tv</v>
      </c>
      <c r="J191" s="6" t="str">
        <f>IFERROR(__xludf.DUMMYFUNCTION("""COMPUTED_VALUE"""),"Uk")</f>
        <v>Uk</v>
      </c>
      <c r="K191" s="6" t="str">
        <f>IFERROR(__xludf.DUMMYFUNCTION("""COMPUTED_VALUE"""),"Basic")</f>
        <v>Basic</v>
      </c>
      <c r="L191" s="6">
        <f>IFERROR(__xludf.DUMMYFUNCTION("""COMPUTED_VALUE"""),0.0)</f>
        <v>0</v>
      </c>
      <c r="M191" s="6" t="str">
        <f>IFERROR(__xludf.DUMMYFUNCTION("""COMPUTED_VALUE"""),"2023-11")</f>
        <v>2023-11</v>
      </c>
    </row>
    <row r="192">
      <c r="A192" s="6" t="str">
        <f>IFERROR(__xludf.DUMMYFUNCTION("""COMPUTED_VALUE"""),"662741f2-2d7c-4a53-9611-3d2cb8698d5b")</f>
        <v>662741f2-2d7c-4a53-9611-3d2cb8698d5b</v>
      </c>
      <c r="B192" s="6" t="str">
        <f>IFERROR(__xludf.DUMMYFUNCTION("""COMPUTED_VALUE"""),"549c4c57-b108-49a5-8117-13fb9232b9b2")</f>
        <v>549c4c57-b108-49a5-8117-13fb9232b9b2</v>
      </c>
      <c r="C192" s="7">
        <f>IFERROR(__xludf.DUMMYFUNCTION("""COMPUTED_VALUE"""),45244.0)</f>
        <v>45244</v>
      </c>
      <c r="D192" s="8">
        <f>IFERROR(__xludf.DUMMYFUNCTION("""COMPUTED_VALUE"""),5.2937309E7)</f>
        <v>52937309</v>
      </c>
      <c r="E192" s="6" t="str">
        <f>IFERROR(__xludf.DUMMYFUNCTION("""COMPUTED_VALUE"""),"DOCUMENTARY")</f>
        <v>DOCUMENTARY</v>
      </c>
      <c r="F192" s="6" t="str">
        <f>IFERROR(__xludf.DUMMYFUNCTION("""COMPUTED_VALUE"""),"Comedy")</f>
        <v>Comedy</v>
      </c>
      <c r="G192" s="6">
        <f>IFERROR(__xludf.DUMMYFUNCTION("""COMPUTED_VALUE"""),89.0)</f>
        <v>89</v>
      </c>
      <c r="H192" s="6">
        <f>IFERROR(__xludf.DUMMYFUNCTION("""COMPUTED_VALUE"""),1.0)</f>
        <v>1</v>
      </c>
      <c r="I192" s="6" t="str">
        <f>IFERROR(__xludf.DUMMYFUNCTION("""COMPUTED_VALUE"""),"Mobile")</f>
        <v>Mobile</v>
      </c>
      <c r="J192" s="6" t="str">
        <f>IFERROR(__xludf.DUMMYFUNCTION("""COMPUTED_VALUE"""),"Germany")</f>
        <v>Germany</v>
      </c>
      <c r="K192" s="6" t="str">
        <f>IFERROR(__xludf.DUMMYFUNCTION("""COMPUTED_VALUE"""),"Premium")</f>
        <v>Premium</v>
      </c>
      <c r="L192" s="6">
        <f>IFERROR(__xludf.DUMMYFUNCTION("""COMPUTED_VALUE"""),0.0)</f>
        <v>0</v>
      </c>
      <c r="M192" s="6" t="str">
        <f>IFERROR(__xludf.DUMMYFUNCTION("""COMPUTED_VALUE"""),"2023-11")</f>
        <v>2023-11</v>
      </c>
    </row>
    <row r="193">
      <c r="A193" s="6" t="str">
        <f>IFERROR(__xludf.DUMMYFUNCTION("""COMPUTED_VALUE"""),"32aecec3-fd1b-4535-b714-f11ac923bc39")</f>
        <v>32aecec3-fd1b-4535-b714-f11ac923bc39</v>
      </c>
      <c r="B193" s="6" t="str">
        <f>IFERROR(__xludf.DUMMYFUNCTION("""COMPUTED_VALUE"""),"54d0a31f-e1df-4b76-8ae2-eeaad0e8adb5")</f>
        <v>54d0a31f-e1df-4b76-8ae2-eeaad0e8adb5</v>
      </c>
      <c r="C193" s="7">
        <f>IFERROR(__xludf.DUMMYFUNCTION("""COMPUTED_VALUE"""),45138.0)</f>
        <v>45138</v>
      </c>
      <c r="D193" s="8">
        <f>IFERROR(__xludf.DUMMYFUNCTION("""COMPUTED_VALUE"""),3.8935053E7)</f>
        <v>38935053</v>
      </c>
      <c r="E193" s="6" t="str">
        <f>IFERROR(__xludf.DUMMYFUNCTION("""COMPUTED_VALUE"""),"DOCUMENTARY")</f>
        <v>DOCUMENTARY</v>
      </c>
      <c r="F193" s="6" t="str">
        <f>IFERROR(__xludf.DUMMYFUNCTION("""COMPUTED_VALUE"""),"Drama")</f>
        <v>Drama</v>
      </c>
      <c r="G193" s="6">
        <f>IFERROR(__xludf.DUMMYFUNCTION("""COMPUTED_VALUE"""),119.0)</f>
        <v>119</v>
      </c>
      <c r="H193" s="6">
        <f>IFERROR(__xludf.DUMMYFUNCTION("""COMPUTED_VALUE"""),1.0)</f>
        <v>1</v>
      </c>
      <c r="I193" s="6" t="str">
        <f>IFERROR(__xludf.DUMMYFUNCTION("""COMPUTED_VALUE"""),"Tablet")</f>
        <v>Tablet</v>
      </c>
      <c r="J193" s="6" t="str">
        <f>IFERROR(__xludf.DUMMYFUNCTION("""COMPUTED_VALUE"""),"Uk")</f>
        <v>Uk</v>
      </c>
      <c r="K193" s="6" t="str">
        <f>IFERROR(__xludf.DUMMYFUNCTION("""COMPUTED_VALUE"""),"Basic")</f>
        <v>Basic</v>
      </c>
      <c r="L193" s="6">
        <f>IFERROR(__xludf.DUMMYFUNCTION("""COMPUTED_VALUE"""),0.0)</f>
        <v>0</v>
      </c>
      <c r="M193" s="6" t="str">
        <f>IFERROR(__xludf.DUMMYFUNCTION("""COMPUTED_VALUE"""),"2023-07")</f>
        <v>2023-07</v>
      </c>
    </row>
    <row r="194">
      <c r="A194" s="6" t="str">
        <f>IFERROR(__xludf.DUMMYFUNCTION("""COMPUTED_VALUE"""),"59bd24ba-fd13-43d9-8640-57446ba1332a")</f>
        <v>59bd24ba-fd13-43d9-8640-57446ba1332a</v>
      </c>
      <c r="B194" s="6" t="str">
        <f>IFERROR(__xludf.DUMMYFUNCTION("""COMPUTED_VALUE"""),"54efbf6c-1941-4c5b-9a94-eeed199831f0")</f>
        <v>54efbf6c-1941-4c5b-9a94-eeed199831f0</v>
      </c>
      <c r="C194" s="7">
        <f>IFERROR(__xludf.DUMMYFUNCTION("""COMPUTED_VALUE"""),45126.0)</f>
        <v>45126</v>
      </c>
      <c r="D194" s="8">
        <f>IFERROR(__xludf.DUMMYFUNCTION("""COMPUTED_VALUE"""),2.0739843E7)</f>
        <v>20739843</v>
      </c>
      <c r="E194" s="6" t="str">
        <f>IFERROR(__xludf.DUMMYFUNCTION("""COMPUTED_VALUE"""),"MOVIE")</f>
        <v>MOVIE</v>
      </c>
      <c r="F194" s="6" t="str">
        <f>IFERROR(__xludf.DUMMYFUNCTION("""COMPUTED_VALUE"""),"Drama")</f>
        <v>Drama</v>
      </c>
      <c r="G194" s="6">
        <f>IFERROR(__xludf.DUMMYFUNCTION("""COMPUTED_VALUE"""),141.0)</f>
        <v>141</v>
      </c>
      <c r="H194" s="6">
        <f>IFERROR(__xludf.DUMMYFUNCTION("""COMPUTED_VALUE"""),1.0)</f>
        <v>1</v>
      </c>
      <c r="I194" s="6" t="str">
        <f>IFERROR(__xludf.DUMMYFUNCTION("""COMPUTED_VALUE"""),"Tablet")</f>
        <v>Tablet</v>
      </c>
      <c r="J194" s="6" t="str">
        <f>IFERROR(__xludf.DUMMYFUNCTION("""COMPUTED_VALUE"""),"Usa")</f>
        <v>Usa</v>
      </c>
      <c r="K194" s="6" t="str">
        <f>IFERROR(__xludf.DUMMYFUNCTION("""COMPUTED_VALUE"""),"Standard")</f>
        <v>Standard</v>
      </c>
      <c r="L194" s="6">
        <f>IFERROR(__xludf.DUMMYFUNCTION("""COMPUTED_VALUE"""),0.0)</f>
        <v>0</v>
      </c>
      <c r="M194" s="6" t="str">
        <f>IFERROR(__xludf.DUMMYFUNCTION("""COMPUTED_VALUE"""),"2023-07")</f>
        <v>2023-07</v>
      </c>
    </row>
    <row r="195">
      <c r="A195" s="6" t="str">
        <f>IFERROR(__xludf.DUMMYFUNCTION("""COMPUTED_VALUE"""),"d4ed51bd-d692-44a2-acbe-4ff616d93ae1")</f>
        <v>d4ed51bd-d692-44a2-acbe-4ff616d93ae1</v>
      </c>
      <c r="B195" s="6" t="str">
        <f>IFERROR(__xludf.DUMMYFUNCTION("""COMPUTED_VALUE"""),"54f998b7-d532-4cc0-b89b-84263e144c00")</f>
        <v>54f998b7-d532-4cc0-b89b-84263e144c00</v>
      </c>
      <c r="C195" s="7">
        <f>IFERROR(__xludf.DUMMYFUNCTION("""COMPUTED_VALUE"""),45070.0)</f>
        <v>45070</v>
      </c>
      <c r="D195" s="8">
        <f>IFERROR(__xludf.DUMMYFUNCTION("""COMPUTED_VALUE"""),2.2686992E7)</f>
        <v>22686992</v>
      </c>
      <c r="E195" s="6" t="str">
        <f>IFERROR(__xludf.DUMMYFUNCTION("""COMPUTED_VALUE"""),"MOVIE")</f>
        <v>MOVIE</v>
      </c>
      <c r="F195" s="6" t="str">
        <f>IFERROR(__xludf.DUMMYFUNCTION("""COMPUTED_VALUE"""),"Thriller")</f>
        <v>Thriller</v>
      </c>
      <c r="G195" s="6">
        <f>IFERROR(__xludf.DUMMYFUNCTION("""COMPUTED_VALUE"""),167.0)</f>
        <v>167</v>
      </c>
      <c r="H195" s="6">
        <f>IFERROR(__xludf.DUMMYFUNCTION("""COMPUTED_VALUE"""),1.0)</f>
        <v>1</v>
      </c>
      <c r="I195" s="6" t="str">
        <f>IFERROR(__xludf.DUMMYFUNCTION("""COMPUTED_VALUE"""),"Mobile")</f>
        <v>Mobile</v>
      </c>
      <c r="J195" s="6" t="str">
        <f>IFERROR(__xludf.DUMMYFUNCTION("""COMPUTED_VALUE"""),"Usa")</f>
        <v>Usa</v>
      </c>
      <c r="K195" s="6" t="str">
        <f>IFERROR(__xludf.DUMMYFUNCTION("""COMPUTED_VALUE"""),"Premium")</f>
        <v>Premium</v>
      </c>
      <c r="L195" s="6">
        <f>IFERROR(__xludf.DUMMYFUNCTION("""COMPUTED_VALUE"""),0.0)</f>
        <v>0</v>
      </c>
      <c r="M195" s="6" t="str">
        <f>IFERROR(__xludf.DUMMYFUNCTION("""COMPUTED_VALUE"""),"2023-05")</f>
        <v>2023-05</v>
      </c>
    </row>
    <row r="196">
      <c r="A196" s="6" t="str">
        <f>IFERROR(__xludf.DUMMYFUNCTION("""COMPUTED_VALUE"""),"c970d405-45e4-4876-bcbc-2a0bed410331")</f>
        <v>c970d405-45e4-4876-bcbc-2a0bed410331</v>
      </c>
      <c r="B196" s="6" t="str">
        <f>IFERROR(__xludf.DUMMYFUNCTION("""COMPUTED_VALUE"""),"562f2346-b094-44ab-b679-18a3be3abbfa")</f>
        <v>562f2346-b094-44ab-b679-18a3be3abbfa</v>
      </c>
      <c r="C196" s="7">
        <f>IFERROR(__xludf.DUMMYFUNCTION("""COMPUTED_VALUE"""),44964.0)</f>
        <v>44964</v>
      </c>
      <c r="D196" s="8">
        <f>IFERROR(__xludf.DUMMYFUNCTION("""COMPUTED_VALUE"""),8240002.0)</f>
        <v>8240002</v>
      </c>
      <c r="E196" s="6" t="str">
        <f>IFERROR(__xludf.DUMMYFUNCTION("""COMPUTED_VALUE"""),"DOCUMENTARY")</f>
        <v>DOCUMENTARY</v>
      </c>
      <c r="F196" s="6" t="str">
        <f>IFERROR(__xludf.DUMMYFUNCTION("""COMPUTED_VALUE"""),"Thriller")</f>
        <v>Thriller</v>
      </c>
      <c r="G196" s="6">
        <f>IFERROR(__xludf.DUMMYFUNCTION("""COMPUTED_VALUE"""),75.0)</f>
        <v>75</v>
      </c>
      <c r="H196" s="6">
        <f>IFERROR(__xludf.DUMMYFUNCTION("""COMPUTED_VALUE"""),1.0)</f>
        <v>1</v>
      </c>
      <c r="I196" s="6" t="str">
        <f>IFERROR(__xludf.DUMMYFUNCTION("""COMPUTED_VALUE"""),"Smart Tv")</f>
        <v>Smart Tv</v>
      </c>
      <c r="J196" s="6" t="str">
        <f>IFERROR(__xludf.DUMMYFUNCTION("""COMPUTED_VALUE"""),"France")</f>
        <v>France</v>
      </c>
      <c r="K196" s="6" t="str">
        <f>IFERROR(__xludf.DUMMYFUNCTION("""COMPUTED_VALUE"""),"Standard")</f>
        <v>Standard</v>
      </c>
      <c r="L196" s="6">
        <f>IFERROR(__xludf.DUMMYFUNCTION("""COMPUTED_VALUE"""),0.0)</f>
        <v>0</v>
      </c>
      <c r="M196" s="6" t="str">
        <f>IFERROR(__xludf.DUMMYFUNCTION("""COMPUTED_VALUE"""),"2023-02")</f>
        <v>2023-02</v>
      </c>
    </row>
    <row r="197">
      <c r="A197" s="6" t="str">
        <f>IFERROR(__xludf.DUMMYFUNCTION("""COMPUTED_VALUE"""),"abff0c7b-d03c-4bbc-bbb5-05029698bdcf")</f>
        <v>abff0c7b-d03c-4bbc-bbb5-05029698bdcf</v>
      </c>
      <c r="B197" s="6" t="str">
        <f>IFERROR(__xludf.DUMMYFUNCTION("""COMPUTED_VALUE"""),"56bd022f-3f5c-42ae-8636-6ad278a37d73")</f>
        <v>56bd022f-3f5c-42ae-8636-6ad278a37d73</v>
      </c>
      <c r="C197" s="7">
        <f>IFERROR(__xludf.DUMMYFUNCTION("""COMPUTED_VALUE"""),45282.0)</f>
        <v>45282</v>
      </c>
      <c r="D197" s="8">
        <f>IFERROR(__xludf.DUMMYFUNCTION("""COMPUTED_VALUE"""),2.1504907E7)</f>
        <v>21504907</v>
      </c>
      <c r="E197" s="6" t="str">
        <f>IFERROR(__xludf.DUMMYFUNCTION("""COMPUTED_VALUE"""),"MOVIE")</f>
        <v>MOVIE</v>
      </c>
      <c r="F197" s="6" t="str">
        <f>IFERROR(__xludf.DUMMYFUNCTION("""COMPUTED_VALUE"""),"Action")</f>
        <v>Action</v>
      </c>
      <c r="G197" s="6">
        <f>IFERROR(__xludf.DUMMYFUNCTION("""COMPUTED_VALUE"""),167.0)</f>
        <v>167</v>
      </c>
      <c r="H197" s="6">
        <f>IFERROR(__xludf.DUMMYFUNCTION("""COMPUTED_VALUE"""),0.0)</f>
        <v>0</v>
      </c>
      <c r="I197" s="6" t="str">
        <f>IFERROR(__xludf.DUMMYFUNCTION("""COMPUTED_VALUE"""),"Mobile")</f>
        <v>Mobile</v>
      </c>
      <c r="J197" s="6" t="str">
        <f>IFERROR(__xludf.DUMMYFUNCTION("""COMPUTED_VALUE"""),"Usa")</f>
        <v>Usa</v>
      </c>
      <c r="K197" s="6" t="str">
        <f>IFERROR(__xludf.DUMMYFUNCTION("""COMPUTED_VALUE"""),"Basic")</f>
        <v>Basic</v>
      </c>
      <c r="L197" s="6">
        <f>IFERROR(__xludf.DUMMYFUNCTION("""COMPUTED_VALUE"""),0.0)</f>
        <v>0</v>
      </c>
      <c r="M197" s="6" t="str">
        <f>IFERROR(__xludf.DUMMYFUNCTION("""COMPUTED_VALUE"""),"2023-12")</f>
        <v>2023-12</v>
      </c>
    </row>
    <row r="198">
      <c r="A198" s="6" t="str">
        <f>IFERROR(__xludf.DUMMYFUNCTION("""COMPUTED_VALUE"""),"5c9a7da9-a01c-4a3d-9ada-292cd3aa11ae")</f>
        <v>5c9a7da9-a01c-4a3d-9ada-292cd3aa11ae</v>
      </c>
      <c r="B198" s="6" t="str">
        <f>IFERROR(__xludf.DUMMYFUNCTION("""COMPUTED_VALUE"""),"575c4a9a-e985-47c1-8937-486a1a122092")</f>
        <v>575c4a9a-e985-47c1-8937-486a1a122092</v>
      </c>
      <c r="C198" s="7">
        <f>IFERROR(__xludf.DUMMYFUNCTION("""COMPUTED_VALUE"""),44978.0)</f>
        <v>44978</v>
      </c>
      <c r="D198" s="8">
        <f>IFERROR(__xludf.DUMMYFUNCTION("""COMPUTED_VALUE"""),6.5976999E7)</f>
        <v>65976999</v>
      </c>
      <c r="E198" s="6" t="str">
        <f>IFERROR(__xludf.DUMMYFUNCTION("""COMPUTED_VALUE"""),"DOCUMENTARY")</f>
        <v>DOCUMENTARY</v>
      </c>
      <c r="F198" s="6" t="str">
        <f>IFERROR(__xludf.DUMMYFUNCTION("""COMPUTED_VALUE"""),"Drama")</f>
        <v>Drama</v>
      </c>
      <c r="G198" s="6">
        <f>IFERROR(__xludf.DUMMYFUNCTION("""COMPUTED_VALUE"""),49.0)</f>
        <v>49</v>
      </c>
      <c r="H198" s="6">
        <f>IFERROR(__xludf.DUMMYFUNCTION("""COMPUTED_VALUE"""),0.0)</f>
        <v>0</v>
      </c>
      <c r="I198" s="6" t="str">
        <f>IFERROR(__xludf.DUMMYFUNCTION("""COMPUTED_VALUE"""),"Desktop")</f>
        <v>Desktop</v>
      </c>
      <c r="J198" s="6" t="str">
        <f>IFERROR(__xludf.DUMMYFUNCTION("""COMPUTED_VALUE"""),"Uk")</f>
        <v>Uk</v>
      </c>
      <c r="K198" s="6" t="str">
        <f>IFERROR(__xludf.DUMMYFUNCTION("""COMPUTED_VALUE"""),"Basic")</f>
        <v>Basic</v>
      </c>
      <c r="L198" s="6">
        <f>IFERROR(__xludf.DUMMYFUNCTION("""COMPUTED_VALUE"""),0.0)</f>
        <v>0</v>
      </c>
      <c r="M198" s="6" t="str">
        <f>IFERROR(__xludf.DUMMYFUNCTION("""COMPUTED_VALUE"""),"2023-02")</f>
        <v>2023-02</v>
      </c>
    </row>
    <row r="199">
      <c r="A199" s="6" t="str">
        <f>IFERROR(__xludf.DUMMYFUNCTION("""COMPUTED_VALUE"""),"43e65fc3-02e2-44b3-972f-4c94e72e1b7f")</f>
        <v>43e65fc3-02e2-44b3-972f-4c94e72e1b7f</v>
      </c>
      <c r="B199" s="6" t="str">
        <f>IFERROR(__xludf.DUMMYFUNCTION("""COMPUTED_VALUE"""),"5932b01b-eb5f-4e5f-8791-8e1bebc57194")</f>
        <v>5932b01b-eb5f-4e5f-8791-8e1bebc57194</v>
      </c>
      <c r="C199" s="7">
        <f>IFERROR(__xludf.DUMMYFUNCTION("""COMPUTED_VALUE"""),45116.0)</f>
        <v>45116</v>
      </c>
      <c r="D199" s="8">
        <f>IFERROR(__xludf.DUMMYFUNCTION("""COMPUTED_VALUE"""),7.9092272E7)</f>
        <v>79092272</v>
      </c>
      <c r="E199" s="6" t="str">
        <f>IFERROR(__xludf.DUMMYFUNCTION("""COMPUTED_VALUE"""),"DOCUMENTARY")</f>
        <v>DOCUMENTARY</v>
      </c>
      <c r="F199" s="6" t="str">
        <f>IFERROR(__xludf.DUMMYFUNCTION("""COMPUTED_VALUE"""),"Drama")</f>
        <v>Drama</v>
      </c>
      <c r="G199" s="6">
        <f>IFERROR(__xludf.DUMMYFUNCTION("""COMPUTED_VALUE"""),54.0)</f>
        <v>54</v>
      </c>
      <c r="H199" s="6">
        <f>IFERROR(__xludf.DUMMYFUNCTION("""COMPUTED_VALUE"""),1.0)</f>
        <v>1</v>
      </c>
      <c r="I199" s="6" t="str">
        <f>IFERROR(__xludf.DUMMYFUNCTION("""COMPUTED_VALUE"""),"Smart Tv")</f>
        <v>Smart Tv</v>
      </c>
      <c r="J199" s="6" t="str">
        <f>IFERROR(__xludf.DUMMYFUNCTION("""COMPUTED_VALUE"""),"Germany")</f>
        <v>Germany</v>
      </c>
      <c r="K199" s="6" t="str">
        <f>IFERROR(__xludf.DUMMYFUNCTION("""COMPUTED_VALUE"""),"Premium")</f>
        <v>Premium</v>
      </c>
      <c r="L199" s="6">
        <f>IFERROR(__xludf.DUMMYFUNCTION("""COMPUTED_VALUE"""),0.0)</f>
        <v>0</v>
      </c>
      <c r="M199" s="6" t="str">
        <f>IFERROR(__xludf.DUMMYFUNCTION("""COMPUTED_VALUE"""),"2023-07")</f>
        <v>2023-07</v>
      </c>
    </row>
    <row r="200">
      <c r="A200" s="6" t="str">
        <f>IFERROR(__xludf.DUMMYFUNCTION("""COMPUTED_VALUE"""),"bedc3314-a490-4d37-bf6b-19debcaf7641")</f>
        <v>bedc3314-a490-4d37-bf6b-19debcaf7641</v>
      </c>
      <c r="B200" s="6" t="str">
        <f>IFERROR(__xludf.DUMMYFUNCTION("""COMPUTED_VALUE"""),"59b899b6-6b2c-47b7-9bba-5ce9c1f6c6b6")</f>
        <v>59b899b6-6b2c-47b7-9bba-5ce9c1f6c6b6</v>
      </c>
      <c r="C200" s="7">
        <f>IFERROR(__xludf.DUMMYFUNCTION("""COMPUTED_VALUE"""),45105.0)</f>
        <v>45105</v>
      </c>
      <c r="D200" s="8">
        <f>IFERROR(__xludf.DUMMYFUNCTION("""COMPUTED_VALUE"""),5.8456101E7)</f>
        <v>58456101</v>
      </c>
      <c r="E200" s="6" t="str">
        <f>IFERROR(__xludf.DUMMYFUNCTION("""COMPUTED_VALUE"""),"SERIES")</f>
        <v>SERIES</v>
      </c>
      <c r="F200" s="6" t="str">
        <f>IFERROR(__xludf.DUMMYFUNCTION("""COMPUTED_VALUE"""),"Action")</f>
        <v>Action</v>
      </c>
      <c r="G200" s="6">
        <f>IFERROR(__xludf.DUMMYFUNCTION("""COMPUTED_VALUE"""),103.0)</f>
        <v>103</v>
      </c>
      <c r="H200" s="6">
        <f>IFERROR(__xludf.DUMMYFUNCTION("""COMPUTED_VALUE"""),1.0)</f>
        <v>1</v>
      </c>
      <c r="I200" s="6" t="str">
        <f>IFERROR(__xludf.DUMMYFUNCTION("""COMPUTED_VALUE"""),"Smart Tv")</f>
        <v>Smart Tv</v>
      </c>
      <c r="J200" s="6" t="str">
        <f>IFERROR(__xludf.DUMMYFUNCTION("""COMPUTED_VALUE"""),"Usa")</f>
        <v>Usa</v>
      </c>
      <c r="K200" s="6" t="str">
        <f>IFERROR(__xludf.DUMMYFUNCTION("""COMPUTED_VALUE"""),"Premium")</f>
        <v>Premium</v>
      </c>
      <c r="L200" s="6">
        <f>IFERROR(__xludf.DUMMYFUNCTION("""COMPUTED_VALUE"""),0.0)</f>
        <v>0</v>
      </c>
      <c r="M200" s="6" t="str">
        <f>IFERROR(__xludf.DUMMYFUNCTION("""COMPUTED_VALUE"""),"2023-06")</f>
        <v>2023-06</v>
      </c>
    </row>
    <row r="201">
      <c r="A201" s="6" t="str">
        <f>IFERROR(__xludf.DUMMYFUNCTION("""COMPUTED_VALUE"""),"a4ba34dc-4bcc-4f73-9e85-14d9d6836e8a")</f>
        <v>a4ba34dc-4bcc-4f73-9e85-14d9d6836e8a</v>
      </c>
      <c r="B201" s="6" t="str">
        <f>IFERROR(__xludf.DUMMYFUNCTION("""COMPUTED_VALUE"""),"59ce97d0-b1b4-4127-9f74-11e76400a34e")</f>
        <v>59ce97d0-b1b4-4127-9f74-11e76400a34e</v>
      </c>
      <c r="C201" s="7">
        <f>IFERROR(__xludf.DUMMYFUNCTION("""COMPUTED_VALUE"""),45243.0)</f>
        <v>45243</v>
      </c>
      <c r="D201" s="8">
        <f>IFERROR(__xludf.DUMMYFUNCTION("""COMPUTED_VALUE"""),3.3546063E7)</f>
        <v>33546063</v>
      </c>
      <c r="E201" s="6" t="str">
        <f>IFERROR(__xludf.DUMMYFUNCTION("""COMPUTED_VALUE"""),"DOCUMENTARY")</f>
        <v>DOCUMENTARY</v>
      </c>
      <c r="F201" s="6" t="str">
        <f>IFERROR(__xludf.DUMMYFUNCTION("""COMPUTED_VALUE"""),"Comedy")</f>
        <v>Comedy</v>
      </c>
      <c r="G201" s="6">
        <f>IFERROR(__xludf.DUMMYFUNCTION("""COMPUTED_VALUE"""),143.0)</f>
        <v>143</v>
      </c>
      <c r="H201" s="6">
        <f>IFERROR(__xludf.DUMMYFUNCTION("""COMPUTED_VALUE"""),0.0)</f>
        <v>0</v>
      </c>
      <c r="I201" s="6" t="str">
        <f>IFERROR(__xludf.DUMMYFUNCTION("""COMPUTED_VALUE"""),"Desktop")</f>
        <v>Desktop</v>
      </c>
      <c r="J201" s="6" t="str">
        <f>IFERROR(__xludf.DUMMYFUNCTION("""COMPUTED_VALUE"""),"Usa")</f>
        <v>Usa</v>
      </c>
      <c r="K201" s="6" t="str">
        <f>IFERROR(__xludf.DUMMYFUNCTION("""COMPUTED_VALUE"""),"Basic")</f>
        <v>Basic</v>
      </c>
      <c r="L201" s="6">
        <f>IFERROR(__xludf.DUMMYFUNCTION("""COMPUTED_VALUE"""),0.0)</f>
        <v>0</v>
      </c>
      <c r="M201" s="6" t="str">
        <f>IFERROR(__xludf.DUMMYFUNCTION("""COMPUTED_VALUE"""),"2023-11")</f>
        <v>2023-11</v>
      </c>
    </row>
    <row r="202">
      <c r="A202" s="6" t="str">
        <f>IFERROR(__xludf.DUMMYFUNCTION("""COMPUTED_VALUE"""),"6abeaf2e-7234-47bf-ac48-d008d10df862")</f>
        <v>6abeaf2e-7234-47bf-ac48-d008d10df862</v>
      </c>
      <c r="B202" s="6" t="str">
        <f>IFERROR(__xludf.DUMMYFUNCTION("""COMPUTED_VALUE"""),"59fb7db0-d066-4468-a834-b24b68e4ff09")</f>
        <v>59fb7db0-d066-4468-a834-b24b68e4ff09</v>
      </c>
      <c r="C202" s="7">
        <f>IFERROR(__xludf.DUMMYFUNCTION("""COMPUTED_VALUE"""),45139.0)</f>
        <v>45139</v>
      </c>
      <c r="D202" s="8">
        <f>IFERROR(__xludf.DUMMYFUNCTION("""COMPUTED_VALUE"""),7.5003722E7)</f>
        <v>75003722</v>
      </c>
      <c r="E202" s="6" t="str">
        <f>IFERROR(__xludf.DUMMYFUNCTION("""COMPUTED_VALUE"""),"DOCUMENTARY")</f>
        <v>DOCUMENTARY</v>
      </c>
      <c r="F202" s="6" t="str">
        <f>IFERROR(__xludf.DUMMYFUNCTION("""COMPUTED_VALUE"""),"Action")</f>
        <v>Action</v>
      </c>
      <c r="G202" s="6">
        <f>IFERROR(__xludf.DUMMYFUNCTION("""COMPUTED_VALUE"""),104.0)</f>
        <v>104</v>
      </c>
      <c r="H202" s="6">
        <f>IFERROR(__xludf.DUMMYFUNCTION("""COMPUTED_VALUE"""),1.0)</f>
        <v>1</v>
      </c>
      <c r="I202" s="6" t="str">
        <f>IFERROR(__xludf.DUMMYFUNCTION("""COMPUTED_VALUE"""),"Tablet")</f>
        <v>Tablet</v>
      </c>
      <c r="J202" s="6" t="str">
        <f>IFERROR(__xludf.DUMMYFUNCTION("""COMPUTED_VALUE"""),"Usa")</f>
        <v>Usa</v>
      </c>
      <c r="K202" s="6" t="str">
        <f>IFERROR(__xludf.DUMMYFUNCTION("""COMPUTED_VALUE"""),"Standard")</f>
        <v>Standard</v>
      </c>
      <c r="L202" s="6">
        <f>IFERROR(__xludf.DUMMYFUNCTION("""COMPUTED_VALUE"""),0.0)</f>
        <v>0</v>
      </c>
      <c r="M202" s="6" t="str">
        <f>IFERROR(__xludf.DUMMYFUNCTION("""COMPUTED_VALUE"""),"2023-08")</f>
        <v>2023-08</v>
      </c>
    </row>
    <row r="203">
      <c r="A203" s="6" t="str">
        <f>IFERROR(__xludf.DUMMYFUNCTION("""COMPUTED_VALUE"""),"efa70888-5a93-4325-839b-1788bb3d5921")</f>
        <v>efa70888-5a93-4325-839b-1788bb3d5921</v>
      </c>
      <c r="B203" s="6" t="str">
        <f>IFERROR(__xludf.DUMMYFUNCTION("""COMPUTED_VALUE"""),"5a88fa02-8ed7-450b-803a-df07c9f41910")</f>
        <v>5a88fa02-8ed7-450b-803a-df07c9f41910</v>
      </c>
      <c r="C203" s="7">
        <f>IFERROR(__xludf.DUMMYFUNCTION("""COMPUTED_VALUE"""),45200.0)</f>
        <v>45200</v>
      </c>
      <c r="D203" s="8">
        <f>IFERROR(__xludf.DUMMYFUNCTION("""COMPUTED_VALUE"""),5.0066766E7)</f>
        <v>50066766</v>
      </c>
      <c r="E203" s="6" t="str">
        <f>IFERROR(__xludf.DUMMYFUNCTION("""COMPUTED_VALUE"""),"MOVIE")</f>
        <v>MOVIE</v>
      </c>
      <c r="F203" s="6" t="str">
        <f>IFERROR(__xludf.DUMMYFUNCTION("""COMPUTED_VALUE"""),"Action")</f>
        <v>Action</v>
      </c>
      <c r="G203" s="6">
        <f>IFERROR(__xludf.DUMMYFUNCTION("""COMPUTED_VALUE"""),18.0)</f>
        <v>18</v>
      </c>
      <c r="H203" s="6">
        <f>IFERROR(__xludf.DUMMYFUNCTION("""COMPUTED_VALUE"""),1.0)</f>
        <v>1</v>
      </c>
      <c r="I203" s="6" t="str">
        <f>IFERROR(__xludf.DUMMYFUNCTION("""COMPUTED_VALUE"""),"Smart Tv")</f>
        <v>Smart Tv</v>
      </c>
      <c r="J203" s="6" t="str">
        <f>IFERROR(__xludf.DUMMYFUNCTION("""COMPUTED_VALUE"""),"Uk")</f>
        <v>Uk</v>
      </c>
      <c r="K203" s="6" t="str">
        <f>IFERROR(__xludf.DUMMYFUNCTION("""COMPUTED_VALUE"""),"Standard")</f>
        <v>Standard</v>
      </c>
      <c r="L203" s="6">
        <f>IFERROR(__xludf.DUMMYFUNCTION("""COMPUTED_VALUE"""),0.0)</f>
        <v>0</v>
      </c>
      <c r="M203" s="6" t="str">
        <f>IFERROR(__xludf.DUMMYFUNCTION("""COMPUTED_VALUE"""),"2023-10")</f>
        <v>2023-10</v>
      </c>
    </row>
    <row r="204">
      <c r="A204" s="6" t="str">
        <f>IFERROR(__xludf.DUMMYFUNCTION("""COMPUTED_VALUE"""),"d5852a16-c313-474b-ae9b-54fe51206bb8")</f>
        <v>d5852a16-c313-474b-ae9b-54fe51206bb8</v>
      </c>
      <c r="B204" s="6" t="str">
        <f>IFERROR(__xludf.DUMMYFUNCTION("""COMPUTED_VALUE"""),"5ac0407b-8f06-41a1-8d9e-cdf129ebdc72")</f>
        <v>5ac0407b-8f06-41a1-8d9e-cdf129ebdc72</v>
      </c>
      <c r="C204" s="7">
        <f>IFERROR(__xludf.DUMMYFUNCTION("""COMPUTED_VALUE"""),45003.0)</f>
        <v>45003</v>
      </c>
      <c r="D204" s="8">
        <f>IFERROR(__xludf.DUMMYFUNCTION("""COMPUTED_VALUE"""),5.091153E7)</f>
        <v>50911530</v>
      </c>
      <c r="E204" s="6" t="str">
        <f>IFERROR(__xludf.DUMMYFUNCTION("""COMPUTED_VALUE"""),"SERIES")</f>
        <v>SERIES</v>
      </c>
      <c r="F204" s="6" t="str">
        <f>IFERROR(__xludf.DUMMYFUNCTION("""COMPUTED_VALUE"""),"Comedy")</f>
        <v>Comedy</v>
      </c>
      <c r="G204" s="6">
        <f>IFERROR(__xludf.DUMMYFUNCTION("""COMPUTED_VALUE"""),60.0)</f>
        <v>60</v>
      </c>
      <c r="H204" s="6">
        <f>IFERROR(__xludf.DUMMYFUNCTION("""COMPUTED_VALUE"""),1.0)</f>
        <v>1</v>
      </c>
      <c r="I204" s="6" t="str">
        <f>IFERROR(__xludf.DUMMYFUNCTION("""COMPUTED_VALUE"""),"Mobile")</f>
        <v>Mobile</v>
      </c>
      <c r="J204" s="6" t="str">
        <f>IFERROR(__xludf.DUMMYFUNCTION("""COMPUTED_VALUE"""),"France")</f>
        <v>France</v>
      </c>
      <c r="K204" s="6" t="str">
        <f>IFERROR(__xludf.DUMMYFUNCTION("""COMPUTED_VALUE"""),"Standard")</f>
        <v>Standard</v>
      </c>
      <c r="L204" s="6">
        <f>IFERROR(__xludf.DUMMYFUNCTION("""COMPUTED_VALUE"""),0.0)</f>
        <v>0</v>
      </c>
      <c r="M204" s="6" t="str">
        <f>IFERROR(__xludf.DUMMYFUNCTION("""COMPUTED_VALUE"""),"2023-03")</f>
        <v>2023-03</v>
      </c>
    </row>
    <row r="205">
      <c r="A205" s="6" t="str">
        <f>IFERROR(__xludf.DUMMYFUNCTION("""COMPUTED_VALUE"""),"ec103bd3-1e03-40fa-b2ea-8bd1092d92e4")</f>
        <v>ec103bd3-1e03-40fa-b2ea-8bd1092d92e4</v>
      </c>
      <c r="B205" s="6" t="str">
        <f>IFERROR(__xludf.DUMMYFUNCTION("""COMPUTED_VALUE"""),"5ad7b4e2-764d-43eb-b317-a43daa896ec5")</f>
        <v>5ad7b4e2-764d-43eb-b317-a43daa896ec5</v>
      </c>
      <c r="C205" s="7">
        <f>IFERROR(__xludf.DUMMYFUNCTION("""COMPUTED_VALUE"""),45228.0)</f>
        <v>45228</v>
      </c>
      <c r="D205" s="8">
        <f>IFERROR(__xludf.DUMMYFUNCTION("""COMPUTED_VALUE"""),4.172446E7)</f>
        <v>41724460</v>
      </c>
      <c r="E205" s="6" t="str">
        <f>IFERROR(__xludf.DUMMYFUNCTION("""COMPUTED_VALUE"""),"DOCUMENTARY")</f>
        <v>DOCUMENTARY</v>
      </c>
      <c r="F205" s="6" t="str">
        <f>IFERROR(__xludf.DUMMYFUNCTION("""COMPUTED_VALUE"""),"Drama")</f>
        <v>Drama</v>
      </c>
      <c r="G205" s="6">
        <f>IFERROR(__xludf.DUMMYFUNCTION("""COMPUTED_VALUE"""),50.0)</f>
        <v>50</v>
      </c>
      <c r="H205" s="6">
        <f>IFERROR(__xludf.DUMMYFUNCTION("""COMPUTED_VALUE"""),0.0)</f>
        <v>0</v>
      </c>
      <c r="I205" s="6" t="str">
        <f>IFERROR(__xludf.DUMMYFUNCTION("""COMPUTED_VALUE"""),"Mobile")</f>
        <v>Mobile</v>
      </c>
      <c r="J205" s="6" t="str">
        <f>IFERROR(__xludf.DUMMYFUNCTION("""COMPUTED_VALUE"""),"France")</f>
        <v>France</v>
      </c>
      <c r="K205" s="6" t="str">
        <f>IFERROR(__xludf.DUMMYFUNCTION("""COMPUTED_VALUE"""),"Standard")</f>
        <v>Standard</v>
      </c>
      <c r="L205" s="6">
        <f>IFERROR(__xludf.DUMMYFUNCTION("""COMPUTED_VALUE"""),0.0)</f>
        <v>0</v>
      </c>
      <c r="M205" s="6" t="str">
        <f>IFERROR(__xludf.DUMMYFUNCTION("""COMPUTED_VALUE"""),"2023-10")</f>
        <v>2023-10</v>
      </c>
    </row>
    <row r="206">
      <c r="A206" s="6" t="str">
        <f>IFERROR(__xludf.DUMMYFUNCTION("""COMPUTED_VALUE"""),"7d119172-e555-48cd-985c-3dab0b06e1d0")</f>
        <v>7d119172-e555-48cd-985c-3dab0b06e1d0</v>
      </c>
      <c r="B206" s="6" t="str">
        <f>IFERROR(__xludf.DUMMYFUNCTION("""COMPUTED_VALUE"""),"5b547acb-3b47-4a27-a975-1f95987bd732")</f>
        <v>5b547acb-3b47-4a27-a975-1f95987bd732</v>
      </c>
      <c r="C206" s="7">
        <f>IFERROR(__xludf.DUMMYFUNCTION("""COMPUTED_VALUE"""),45066.0)</f>
        <v>45066</v>
      </c>
      <c r="D206" s="8">
        <f>IFERROR(__xludf.DUMMYFUNCTION("""COMPUTED_VALUE"""),7.0315547E7)</f>
        <v>70315547</v>
      </c>
      <c r="E206" s="6" t="str">
        <f>IFERROR(__xludf.DUMMYFUNCTION("""COMPUTED_VALUE"""),"MOVIE")</f>
        <v>MOVIE</v>
      </c>
      <c r="F206" s="6" t="str">
        <f>IFERROR(__xludf.DUMMYFUNCTION("""COMPUTED_VALUE"""),"Thriller")</f>
        <v>Thriller</v>
      </c>
      <c r="G206" s="6">
        <f>IFERROR(__xludf.DUMMYFUNCTION("""COMPUTED_VALUE"""),170.0)</f>
        <v>170</v>
      </c>
      <c r="H206" s="6">
        <f>IFERROR(__xludf.DUMMYFUNCTION("""COMPUTED_VALUE"""),0.0)</f>
        <v>0</v>
      </c>
      <c r="I206" s="6" t="str">
        <f>IFERROR(__xludf.DUMMYFUNCTION("""COMPUTED_VALUE"""),"Smart Tv")</f>
        <v>Smart Tv</v>
      </c>
      <c r="J206" s="6" t="str">
        <f>IFERROR(__xludf.DUMMYFUNCTION("""COMPUTED_VALUE"""),"France")</f>
        <v>France</v>
      </c>
      <c r="K206" s="6" t="str">
        <f>IFERROR(__xludf.DUMMYFUNCTION("""COMPUTED_VALUE"""),"Basic")</f>
        <v>Basic</v>
      </c>
      <c r="L206" s="6">
        <f>IFERROR(__xludf.DUMMYFUNCTION("""COMPUTED_VALUE"""),0.0)</f>
        <v>0</v>
      </c>
      <c r="M206" s="6" t="str">
        <f>IFERROR(__xludf.DUMMYFUNCTION("""COMPUTED_VALUE"""),"2023-05")</f>
        <v>2023-05</v>
      </c>
    </row>
    <row r="207">
      <c r="A207" s="6" t="str">
        <f>IFERROR(__xludf.DUMMYFUNCTION("""COMPUTED_VALUE"""),"7b8eded1-85bc-47e9-91f8-1f6b8cc4e5ca")</f>
        <v>7b8eded1-85bc-47e9-91f8-1f6b8cc4e5ca</v>
      </c>
      <c r="B207" s="6" t="str">
        <f>IFERROR(__xludf.DUMMYFUNCTION("""COMPUTED_VALUE"""),"5b5b6b0a-d807-4de9-98ae-1d957fa2bc8e")</f>
        <v>5b5b6b0a-d807-4de9-98ae-1d957fa2bc8e</v>
      </c>
      <c r="C207" s="7">
        <f>IFERROR(__xludf.DUMMYFUNCTION("""COMPUTED_VALUE"""),44992.0)</f>
        <v>44992</v>
      </c>
      <c r="D207" s="8">
        <f>IFERROR(__xludf.DUMMYFUNCTION("""COMPUTED_VALUE"""),3287736.0)</f>
        <v>3287736</v>
      </c>
      <c r="E207" s="6" t="str">
        <f>IFERROR(__xludf.DUMMYFUNCTION("""COMPUTED_VALUE"""),"MOVIE")</f>
        <v>MOVIE</v>
      </c>
      <c r="F207" s="6" t="str">
        <f>IFERROR(__xludf.DUMMYFUNCTION("""COMPUTED_VALUE"""),"Thriller")</f>
        <v>Thriller</v>
      </c>
      <c r="G207" s="6">
        <f>IFERROR(__xludf.DUMMYFUNCTION("""COMPUTED_VALUE"""),168.0)</f>
        <v>168</v>
      </c>
      <c r="H207" s="6">
        <f>IFERROR(__xludf.DUMMYFUNCTION("""COMPUTED_VALUE"""),0.0)</f>
        <v>0</v>
      </c>
      <c r="I207" s="6" t="str">
        <f>IFERROR(__xludf.DUMMYFUNCTION("""COMPUTED_VALUE"""),"Smart Tv")</f>
        <v>Smart Tv</v>
      </c>
      <c r="J207" s="6" t="str">
        <f>IFERROR(__xludf.DUMMYFUNCTION("""COMPUTED_VALUE"""),"France")</f>
        <v>France</v>
      </c>
      <c r="K207" s="6" t="str">
        <f>IFERROR(__xludf.DUMMYFUNCTION("""COMPUTED_VALUE"""),"Standard")</f>
        <v>Standard</v>
      </c>
      <c r="L207" s="6">
        <f>IFERROR(__xludf.DUMMYFUNCTION("""COMPUTED_VALUE"""),0.0)</f>
        <v>0</v>
      </c>
      <c r="M207" s="6" t="str">
        <f>IFERROR(__xludf.DUMMYFUNCTION("""COMPUTED_VALUE"""),"2023-03")</f>
        <v>2023-03</v>
      </c>
    </row>
    <row r="208">
      <c r="A208" s="6" t="str">
        <f>IFERROR(__xludf.DUMMYFUNCTION("""COMPUTED_VALUE"""),"daacae0c-c983-43fa-9102-9ff49930036a")</f>
        <v>daacae0c-c983-43fa-9102-9ff49930036a</v>
      </c>
      <c r="B208" s="6" t="str">
        <f>IFERROR(__xludf.DUMMYFUNCTION("""COMPUTED_VALUE"""),"5b8f3e0c-1d85-48ad-a997-c91489e70bdf")</f>
        <v>5b8f3e0c-1d85-48ad-a997-c91489e70bdf</v>
      </c>
      <c r="C208" s="7">
        <f>IFERROR(__xludf.DUMMYFUNCTION("""COMPUTED_VALUE"""),45240.0)</f>
        <v>45240</v>
      </c>
      <c r="D208" s="8">
        <f>IFERROR(__xludf.DUMMYFUNCTION("""COMPUTED_VALUE"""),6.6116981E7)</f>
        <v>66116981</v>
      </c>
      <c r="E208" s="6" t="str">
        <f>IFERROR(__xludf.DUMMYFUNCTION("""COMPUTED_VALUE"""),"SERIES")</f>
        <v>SERIES</v>
      </c>
      <c r="F208" s="6" t="str">
        <f>IFERROR(__xludf.DUMMYFUNCTION("""COMPUTED_VALUE"""),"Comedy")</f>
        <v>Comedy</v>
      </c>
      <c r="G208" s="6">
        <f>IFERROR(__xludf.DUMMYFUNCTION("""COMPUTED_VALUE"""),151.0)</f>
        <v>151</v>
      </c>
      <c r="H208" s="6">
        <f>IFERROR(__xludf.DUMMYFUNCTION("""COMPUTED_VALUE"""),1.0)</f>
        <v>1</v>
      </c>
      <c r="I208" s="6" t="str">
        <f>IFERROR(__xludf.DUMMYFUNCTION("""COMPUTED_VALUE"""),"Desktop")</f>
        <v>Desktop</v>
      </c>
      <c r="J208" s="6" t="str">
        <f>IFERROR(__xludf.DUMMYFUNCTION("""COMPUTED_VALUE"""),"Uk")</f>
        <v>Uk</v>
      </c>
      <c r="K208" s="6" t="str">
        <f>IFERROR(__xludf.DUMMYFUNCTION("""COMPUTED_VALUE"""),"Basic")</f>
        <v>Basic</v>
      </c>
      <c r="L208" s="6">
        <f>IFERROR(__xludf.DUMMYFUNCTION("""COMPUTED_VALUE"""),1.0)</f>
        <v>1</v>
      </c>
      <c r="M208" s="6" t="str">
        <f>IFERROR(__xludf.DUMMYFUNCTION("""COMPUTED_VALUE"""),"2023-11")</f>
        <v>2023-11</v>
      </c>
    </row>
    <row r="209">
      <c r="A209" s="6" t="str">
        <f>IFERROR(__xludf.DUMMYFUNCTION("""COMPUTED_VALUE"""),"27957d2c-ed54-49c9-8de2-d5725244f1dc")</f>
        <v>27957d2c-ed54-49c9-8de2-d5725244f1dc</v>
      </c>
      <c r="B209" s="6" t="str">
        <f>IFERROR(__xludf.DUMMYFUNCTION("""COMPUTED_VALUE"""),"5bbd0550-f2ca-475d-a03d-0050d9f463e7")</f>
        <v>5bbd0550-f2ca-475d-a03d-0050d9f463e7</v>
      </c>
      <c r="C209" s="7">
        <f>IFERROR(__xludf.DUMMYFUNCTION("""COMPUTED_VALUE"""),45173.0)</f>
        <v>45173</v>
      </c>
      <c r="D209" s="8">
        <f>IFERROR(__xludf.DUMMYFUNCTION("""COMPUTED_VALUE"""),4.3955558E7)</f>
        <v>43955558</v>
      </c>
      <c r="E209" s="6" t="str">
        <f>IFERROR(__xludf.DUMMYFUNCTION("""COMPUTED_VALUE"""),"MOVIE")</f>
        <v>MOVIE</v>
      </c>
      <c r="F209" s="6" t="str">
        <f>IFERROR(__xludf.DUMMYFUNCTION("""COMPUTED_VALUE"""),"Action")</f>
        <v>Action</v>
      </c>
      <c r="G209" s="6">
        <f>IFERROR(__xludf.DUMMYFUNCTION("""COMPUTED_VALUE"""),160.0)</f>
        <v>160</v>
      </c>
      <c r="H209" s="6">
        <f>IFERROR(__xludf.DUMMYFUNCTION("""COMPUTED_VALUE"""),1.0)</f>
        <v>1</v>
      </c>
      <c r="I209" s="6" t="str">
        <f>IFERROR(__xludf.DUMMYFUNCTION("""COMPUTED_VALUE"""),"Mobile")</f>
        <v>Mobile</v>
      </c>
      <c r="J209" s="6" t="str">
        <f>IFERROR(__xludf.DUMMYFUNCTION("""COMPUTED_VALUE"""),"Usa")</f>
        <v>Usa</v>
      </c>
      <c r="K209" s="6" t="str">
        <f>IFERROR(__xludf.DUMMYFUNCTION("""COMPUTED_VALUE"""),"Basic")</f>
        <v>Basic</v>
      </c>
      <c r="L209" s="6">
        <f>IFERROR(__xludf.DUMMYFUNCTION("""COMPUTED_VALUE"""),1.0)</f>
        <v>1</v>
      </c>
      <c r="M209" s="6" t="str">
        <f>IFERROR(__xludf.DUMMYFUNCTION("""COMPUTED_VALUE"""),"2023-09")</f>
        <v>2023-09</v>
      </c>
    </row>
    <row r="210">
      <c r="A210" s="6" t="str">
        <f>IFERROR(__xludf.DUMMYFUNCTION("""COMPUTED_VALUE"""),"66840eb9-97a1-4908-ba37-beb330d04ed6")</f>
        <v>66840eb9-97a1-4908-ba37-beb330d04ed6</v>
      </c>
      <c r="B210" s="6" t="str">
        <f>IFERROR(__xludf.DUMMYFUNCTION("""COMPUTED_VALUE"""),"5bfcb81f-d5a6-44af-8d0f-bf9615c9ddc4")</f>
        <v>5bfcb81f-d5a6-44af-8d0f-bf9615c9ddc4</v>
      </c>
      <c r="C210" s="7">
        <f>IFERROR(__xludf.DUMMYFUNCTION("""COMPUTED_VALUE"""),45212.0)</f>
        <v>45212</v>
      </c>
      <c r="D210" s="8">
        <f>IFERROR(__xludf.DUMMYFUNCTION("""COMPUTED_VALUE"""),6.6064046E7)</f>
        <v>66064046</v>
      </c>
      <c r="E210" s="6" t="str">
        <f>IFERROR(__xludf.DUMMYFUNCTION("""COMPUTED_VALUE"""),"SERIES")</f>
        <v>SERIES</v>
      </c>
      <c r="F210" s="6" t="str">
        <f>IFERROR(__xludf.DUMMYFUNCTION("""COMPUTED_VALUE"""),"Sci-Fi")</f>
        <v>Sci-Fi</v>
      </c>
      <c r="G210" s="6">
        <f>IFERROR(__xludf.DUMMYFUNCTION("""COMPUTED_VALUE"""),132.0)</f>
        <v>132</v>
      </c>
      <c r="H210" s="6">
        <f>IFERROR(__xludf.DUMMYFUNCTION("""COMPUTED_VALUE"""),1.0)</f>
        <v>1</v>
      </c>
      <c r="I210" s="6" t="str">
        <f>IFERROR(__xludf.DUMMYFUNCTION("""COMPUTED_VALUE"""),"Smart Tv")</f>
        <v>Smart Tv</v>
      </c>
      <c r="J210" s="6" t="str">
        <f>IFERROR(__xludf.DUMMYFUNCTION("""COMPUTED_VALUE"""),"India")</f>
        <v>India</v>
      </c>
      <c r="K210" s="6" t="str">
        <f>IFERROR(__xludf.DUMMYFUNCTION("""COMPUTED_VALUE"""),"Standard")</f>
        <v>Standard</v>
      </c>
      <c r="L210" s="6">
        <f>IFERROR(__xludf.DUMMYFUNCTION("""COMPUTED_VALUE"""),0.0)</f>
        <v>0</v>
      </c>
      <c r="M210" s="6" t="str">
        <f>IFERROR(__xludf.DUMMYFUNCTION("""COMPUTED_VALUE"""),"2023-10")</f>
        <v>2023-10</v>
      </c>
    </row>
    <row r="211">
      <c r="A211" s="6" t="str">
        <f>IFERROR(__xludf.DUMMYFUNCTION("""COMPUTED_VALUE"""),"d92c2037-6794-4a9d-8626-93ffc82f1b36")</f>
        <v>d92c2037-6794-4a9d-8626-93ffc82f1b36</v>
      </c>
      <c r="B211" s="6" t="str">
        <f>IFERROR(__xludf.DUMMYFUNCTION("""COMPUTED_VALUE"""),"5c3fe476-4574-414d-9088-d1aa54a4925f")</f>
        <v>5c3fe476-4574-414d-9088-d1aa54a4925f</v>
      </c>
      <c r="C211" s="7">
        <f>IFERROR(__xludf.DUMMYFUNCTION("""COMPUTED_VALUE"""),45146.0)</f>
        <v>45146</v>
      </c>
      <c r="D211" s="8">
        <f>IFERROR(__xludf.DUMMYFUNCTION("""COMPUTED_VALUE"""),6.3118926E7)</f>
        <v>63118926</v>
      </c>
      <c r="E211" s="6" t="str">
        <f>IFERROR(__xludf.DUMMYFUNCTION("""COMPUTED_VALUE"""),"DOCUMENTARY")</f>
        <v>DOCUMENTARY</v>
      </c>
      <c r="F211" s="6" t="str">
        <f>IFERROR(__xludf.DUMMYFUNCTION("""COMPUTED_VALUE"""),"Action")</f>
        <v>Action</v>
      </c>
      <c r="G211" s="6">
        <f>IFERROR(__xludf.DUMMYFUNCTION("""COMPUTED_VALUE"""),159.0)</f>
        <v>159</v>
      </c>
      <c r="H211" s="6">
        <f>IFERROR(__xludf.DUMMYFUNCTION("""COMPUTED_VALUE"""),1.0)</f>
        <v>1</v>
      </c>
      <c r="I211" s="6" t="str">
        <f>IFERROR(__xludf.DUMMYFUNCTION("""COMPUTED_VALUE"""),"Smart Tv")</f>
        <v>Smart Tv</v>
      </c>
      <c r="J211" s="6" t="str">
        <f>IFERROR(__xludf.DUMMYFUNCTION("""COMPUTED_VALUE"""),"India")</f>
        <v>India</v>
      </c>
      <c r="K211" s="6" t="str">
        <f>IFERROR(__xludf.DUMMYFUNCTION("""COMPUTED_VALUE"""),"Basic")</f>
        <v>Basic</v>
      </c>
      <c r="L211" s="6">
        <f>IFERROR(__xludf.DUMMYFUNCTION("""COMPUTED_VALUE"""),0.0)</f>
        <v>0</v>
      </c>
      <c r="M211" s="6" t="str">
        <f>IFERROR(__xludf.DUMMYFUNCTION("""COMPUTED_VALUE"""),"2023-08")</f>
        <v>2023-08</v>
      </c>
    </row>
    <row r="212">
      <c r="A212" s="6" t="str">
        <f>IFERROR(__xludf.DUMMYFUNCTION("""COMPUTED_VALUE"""),"ddc3f0b2-fa03-411a-bb23-43e6ba033a2a")</f>
        <v>ddc3f0b2-fa03-411a-bb23-43e6ba033a2a</v>
      </c>
      <c r="B212" s="6" t="str">
        <f>IFERROR(__xludf.DUMMYFUNCTION("""COMPUTED_VALUE"""),"5c4b9f31-26c2-42cb-9832-d94a06bad0db")</f>
        <v>5c4b9f31-26c2-42cb-9832-d94a06bad0db</v>
      </c>
      <c r="C212" s="7">
        <f>IFERROR(__xludf.DUMMYFUNCTION("""COMPUTED_VALUE"""),45261.0)</f>
        <v>45261</v>
      </c>
      <c r="D212" s="8">
        <f>IFERROR(__xludf.DUMMYFUNCTION("""COMPUTED_VALUE"""),1.2373291E7)</f>
        <v>12373291</v>
      </c>
      <c r="E212" s="6" t="str">
        <f>IFERROR(__xludf.DUMMYFUNCTION("""COMPUTED_VALUE"""),"DOCUMENTARY")</f>
        <v>DOCUMENTARY</v>
      </c>
      <c r="F212" s="6" t="str">
        <f>IFERROR(__xludf.DUMMYFUNCTION("""COMPUTED_VALUE"""),"Drama")</f>
        <v>Drama</v>
      </c>
      <c r="G212" s="6">
        <f>IFERROR(__xludf.DUMMYFUNCTION("""COMPUTED_VALUE"""),19.0)</f>
        <v>19</v>
      </c>
      <c r="H212" s="6">
        <f>IFERROR(__xludf.DUMMYFUNCTION("""COMPUTED_VALUE"""),1.0)</f>
        <v>1</v>
      </c>
      <c r="I212" s="6" t="str">
        <f>IFERROR(__xludf.DUMMYFUNCTION("""COMPUTED_VALUE"""),"Mobile")</f>
        <v>Mobile</v>
      </c>
      <c r="J212" s="6" t="str">
        <f>IFERROR(__xludf.DUMMYFUNCTION("""COMPUTED_VALUE"""),"India")</f>
        <v>India</v>
      </c>
      <c r="K212" s="6" t="str">
        <f>IFERROR(__xludf.DUMMYFUNCTION("""COMPUTED_VALUE"""),"Premium")</f>
        <v>Premium</v>
      </c>
      <c r="L212" s="6">
        <f>IFERROR(__xludf.DUMMYFUNCTION("""COMPUTED_VALUE"""),0.0)</f>
        <v>0</v>
      </c>
      <c r="M212" s="6" t="str">
        <f>IFERROR(__xludf.DUMMYFUNCTION("""COMPUTED_VALUE"""),"2023-12")</f>
        <v>2023-12</v>
      </c>
    </row>
    <row r="213">
      <c r="A213" s="6" t="str">
        <f>IFERROR(__xludf.DUMMYFUNCTION("""COMPUTED_VALUE"""),"de44ea84-dcaa-4cce-8563-33697495c7e1")</f>
        <v>de44ea84-dcaa-4cce-8563-33697495c7e1</v>
      </c>
      <c r="B213" s="6" t="str">
        <f>IFERROR(__xludf.DUMMYFUNCTION("""COMPUTED_VALUE"""),"5c5c92d0-dcaf-494d-8b0e-ab3c26205321")</f>
        <v>5c5c92d0-dcaf-494d-8b0e-ab3c26205321</v>
      </c>
      <c r="C213" s="7">
        <f>IFERROR(__xludf.DUMMYFUNCTION("""COMPUTED_VALUE"""),45234.0)</f>
        <v>45234</v>
      </c>
      <c r="D213" s="8">
        <f>IFERROR(__xludf.DUMMYFUNCTION("""COMPUTED_VALUE"""),8.4784506E7)</f>
        <v>84784506</v>
      </c>
      <c r="E213" s="6" t="str">
        <f>IFERROR(__xludf.DUMMYFUNCTION("""COMPUTED_VALUE"""),"DOCUMENTARY")</f>
        <v>DOCUMENTARY</v>
      </c>
      <c r="F213" s="6" t="str">
        <f>IFERROR(__xludf.DUMMYFUNCTION("""COMPUTED_VALUE"""),"Action")</f>
        <v>Action</v>
      </c>
      <c r="G213" s="6">
        <f>IFERROR(__xludf.DUMMYFUNCTION("""COMPUTED_VALUE"""),24.0)</f>
        <v>24</v>
      </c>
      <c r="H213" s="6">
        <f>IFERROR(__xludf.DUMMYFUNCTION("""COMPUTED_VALUE"""),1.0)</f>
        <v>1</v>
      </c>
      <c r="I213" s="6" t="str">
        <f>IFERROR(__xludf.DUMMYFUNCTION("""COMPUTED_VALUE"""),"Desktop")</f>
        <v>Desktop</v>
      </c>
      <c r="J213" s="6" t="str">
        <f>IFERROR(__xludf.DUMMYFUNCTION("""COMPUTED_VALUE"""),"India")</f>
        <v>India</v>
      </c>
      <c r="K213" s="6" t="str">
        <f>IFERROR(__xludf.DUMMYFUNCTION("""COMPUTED_VALUE"""),"Basic")</f>
        <v>Basic</v>
      </c>
      <c r="L213" s="6">
        <f>IFERROR(__xludf.DUMMYFUNCTION("""COMPUTED_VALUE"""),0.0)</f>
        <v>0</v>
      </c>
      <c r="M213" s="6" t="str">
        <f>IFERROR(__xludf.DUMMYFUNCTION("""COMPUTED_VALUE"""),"2023-11")</f>
        <v>2023-11</v>
      </c>
    </row>
    <row r="214">
      <c r="A214" s="6" t="str">
        <f>IFERROR(__xludf.DUMMYFUNCTION("""COMPUTED_VALUE"""),"e0cece0a-ed47-4d9b-aaaf-b17ef4b346d9")</f>
        <v>e0cece0a-ed47-4d9b-aaaf-b17ef4b346d9</v>
      </c>
      <c r="B214" s="6" t="str">
        <f>IFERROR(__xludf.DUMMYFUNCTION("""COMPUTED_VALUE"""),"5d0b2467-2a94-470c-a415-39213f607de4")</f>
        <v>5d0b2467-2a94-470c-a415-39213f607de4</v>
      </c>
      <c r="C214" s="7">
        <f>IFERROR(__xludf.DUMMYFUNCTION("""COMPUTED_VALUE"""),44939.0)</f>
        <v>44939</v>
      </c>
      <c r="D214" s="8">
        <f>IFERROR(__xludf.DUMMYFUNCTION("""COMPUTED_VALUE"""),5.0630486E7)</f>
        <v>50630486</v>
      </c>
      <c r="E214" s="6" t="str">
        <f>IFERROR(__xludf.DUMMYFUNCTION("""COMPUTED_VALUE"""),"MOVIE")</f>
        <v>MOVIE</v>
      </c>
      <c r="F214" s="6" t="str">
        <f>IFERROR(__xludf.DUMMYFUNCTION("""COMPUTED_VALUE"""),"Drama")</f>
        <v>Drama</v>
      </c>
      <c r="G214" s="6">
        <f>IFERROR(__xludf.DUMMYFUNCTION("""COMPUTED_VALUE"""),6.0)</f>
        <v>6</v>
      </c>
      <c r="H214" s="6">
        <f>IFERROR(__xludf.DUMMYFUNCTION("""COMPUTED_VALUE"""),1.0)</f>
        <v>1</v>
      </c>
      <c r="I214" s="6" t="str">
        <f>IFERROR(__xludf.DUMMYFUNCTION("""COMPUTED_VALUE"""),"Smart Tv")</f>
        <v>Smart Tv</v>
      </c>
      <c r="J214" s="6" t="str">
        <f>IFERROR(__xludf.DUMMYFUNCTION("""COMPUTED_VALUE"""),"Germany")</f>
        <v>Germany</v>
      </c>
      <c r="K214" s="6" t="str">
        <f>IFERROR(__xludf.DUMMYFUNCTION("""COMPUTED_VALUE"""),"Premium")</f>
        <v>Premium</v>
      </c>
      <c r="L214" s="6">
        <f>IFERROR(__xludf.DUMMYFUNCTION("""COMPUTED_VALUE"""),0.0)</f>
        <v>0</v>
      </c>
      <c r="M214" s="6" t="str">
        <f>IFERROR(__xludf.DUMMYFUNCTION("""COMPUTED_VALUE"""),"2023-01")</f>
        <v>2023-01</v>
      </c>
    </row>
    <row r="215">
      <c r="A215" s="6" t="str">
        <f>IFERROR(__xludf.DUMMYFUNCTION("""COMPUTED_VALUE"""),"97789958-f5ab-4b11-bff0-b97aa1f98f23")</f>
        <v>97789958-f5ab-4b11-bff0-b97aa1f98f23</v>
      </c>
      <c r="B215" s="6" t="str">
        <f>IFERROR(__xludf.DUMMYFUNCTION("""COMPUTED_VALUE"""),"5d0e65c6-3b78-4475-9ab4-94b0739262f3")</f>
        <v>5d0e65c6-3b78-4475-9ab4-94b0739262f3</v>
      </c>
      <c r="C215" s="7">
        <f>IFERROR(__xludf.DUMMYFUNCTION("""COMPUTED_VALUE"""),44956.0)</f>
        <v>44956</v>
      </c>
      <c r="D215" s="8">
        <f>IFERROR(__xludf.DUMMYFUNCTION("""COMPUTED_VALUE"""),6.2357197E7)</f>
        <v>62357197</v>
      </c>
      <c r="E215" s="6" t="str">
        <f>IFERROR(__xludf.DUMMYFUNCTION("""COMPUTED_VALUE"""),"MOVIE")</f>
        <v>MOVIE</v>
      </c>
      <c r="F215" s="6" t="str">
        <f>IFERROR(__xludf.DUMMYFUNCTION("""COMPUTED_VALUE"""),"Comedy")</f>
        <v>Comedy</v>
      </c>
      <c r="G215" s="6">
        <f>IFERROR(__xludf.DUMMYFUNCTION("""COMPUTED_VALUE"""),174.0)</f>
        <v>174</v>
      </c>
      <c r="H215" s="6">
        <f>IFERROR(__xludf.DUMMYFUNCTION("""COMPUTED_VALUE"""),1.0)</f>
        <v>1</v>
      </c>
      <c r="I215" s="6" t="str">
        <f>IFERROR(__xludf.DUMMYFUNCTION("""COMPUTED_VALUE"""),"Smart Tv")</f>
        <v>Smart Tv</v>
      </c>
      <c r="J215" s="6" t="str">
        <f>IFERROR(__xludf.DUMMYFUNCTION("""COMPUTED_VALUE"""),"Germany")</f>
        <v>Germany</v>
      </c>
      <c r="K215" s="6" t="str">
        <f>IFERROR(__xludf.DUMMYFUNCTION("""COMPUTED_VALUE"""),"Standard")</f>
        <v>Standard</v>
      </c>
      <c r="L215" s="6">
        <f>IFERROR(__xludf.DUMMYFUNCTION("""COMPUTED_VALUE"""),1.0)</f>
        <v>1</v>
      </c>
      <c r="M215" s="6" t="str">
        <f>IFERROR(__xludf.DUMMYFUNCTION("""COMPUTED_VALUE"""),"2023-01")</f>
        <v>2023-01</v>
      </c>
    </row>
    <row r="216">
      <c r="A216" s="6" t="str">
        <f>IFERROR(__xludf.DUMMYFUNCTION("""COMPUTED_VALUE"""),"532f4c55-998b-4f90-b52a-e18a91a0dc95")</f>
        <v>532f4c55-998b-4f90-b52a-e18a91a0dc95</v>
      </c>
      <c r="B216" s="6" t="str">
        <f>IFERROR(__xludf.DUMMYFUNCTION("""COMPUTED_VALUE"""),"5d1e9609-74e0-4758-b990-d60f10d3bd99")</f>
        <v>5d1e9609-74e0-4758-b990-d60f10d3bd99</v>
      </c>
      <c r="C216" s="7">
        <f>IFERROR(__xludf.DUMMYFUNCTION("""COMPUTED_VALUE"""),45017.0)</f>
        <v>45017</v>
      </c>
      <c r="D216" s="8">
        <f>IFERROR(__xludf.DUMMYFUNCTION("""COMPUTED_VALUE"""),1.2671724E7)</f>
        <v>12671724</v>
      </c>
      <c r="E216" s="6" t="str">
        <f>IFERROR(__xludf.DUMMYFUNCTION("""COMPUTED_VALUE"""),"MOVIE")</f>
        <v>MOVIE</v>
      </c>
      <c r="F216" s="6" t="str">
        <f>IFERROR(__xludf.DUMMYFUNCTION("""COMPUTED_VALUE"""),"Thriller")</f>
        <v>Thriller</v>
      </c>
      <c r="G216" s="6">
        <f>IFERROR(__xludf.DUMMYFUNCTION("""COMPUTED_VALUE"""),38.0)</f>
        <v>38</v>
      </c>
      <c r="H216" s="6">
        <f>IFERROR(__xludf.DUMMYFUNCTION("""COMPUTED_VALUE"""),0.0)</f>
        <v>0</v>
      </c>
      <c r="I216" s="6" t="str">
        <f>IFERROR(__xludf.DUMMYFUNCTION("""COMPUTED_VALUE"""),"Mobile")</f>
        <v>Mobile</v>
      </c>
      <c r="J216" s="6" t="str">
        <f>IFERROR(__xludf.DUMMYFUNCTION("""COMPUTED_VALUE"""),"Germany")</f>
        <v>Germany</v>
      </c>
      <c r="K216" s="6" t="str">
        <f>IFERROR(__xludf.DUMMYFUNCTION("""COMPUTED_VALUE"""),"Standard")</f>
        <v>Standard</v>
      </c>
      <c r="L216" s="6">
        <f>IFERROR(__xludf.DUMMYFUNCTION("""COMPUTED_VALUE"""),1.0)</f>
        <v>1</v>
      </c>
      <c r="M216" s="6" t="str">
        <f>IFERROR(__xludf.DUMMYFUNCTION("""COMPUTED_VALUE"""),"2023-04")</f>
        <v>2023-04</v>
      </c>
    </row>
    <row r="217">
      <c r="A217" s="6" t="str">
        <f>IFERROR(__xludf.DUMMYFUNCTION("""COMPUTED_VALUE"""),"92d2037a-4a59-46bd-9511-b256c0d636e5")</f>
        <v>92d2037a-4a59-46bd-9511-b256c0d636e5</v>
      </c>
      <c r="B217" s="6" t="str">
        <f>IFERROR(__xludf.DUMMYFUNCTION("""COMPUTED_VALUE"""),"5d30c8f4-0ca1-4e22-8da8-07040a33c8b5")</f>
        <v>5d30c8f4-0ca1-4e22-8da8-07040a33c8b5</v>
      </c>
      <c r="C217" s="7">
        <f>IFERROR(__xludf.DUMMYFUNCTION("""COMPUTED_VALUE"""),44977.0)</f>
        <v>44977</v>
      </c>
      <c r="D217" s="8">
        <f>IFERROR(__xludf.DUMMYFUNCTION("""COMPUTED_VALUE"""),1.2243891E7)</f>
        <v>12243891</v>
      </c>
      <c r="E217" s="6" t="str">
        <f>IFERROR(__xludf.DUMMYFUNCTION("""COMPUTED_VALUE"""),"DOCUMENTARY")</f>
        <v>DOCUMENTARY</v>
      </c>
      <c r="F217" s="6" t="str">
        <f>IFERROR(__xludf.DUMMYFUNCTION("""COMPUTED_VALUE"""),"Sci-Fi")</f>
        <v>Sci-Fi</v>
      </c>
      <c r="G217" s="6">
        <f>IFERROR(__xludf.DUMMYFUNCTION("""COMPUTED_VALUE"""),99.0)</f>
        <v>99</v>
      </c>
      <c r="H217" s="6">
        <f>IFERROR(__xludf.DUMMYFUNCTION("""COMPUTED_VALUE"""),1.0)</f>
        <v>1</v>
      </c>
      <c r="I217" s="6" t="str">
        <f>IFERROR(__xludf.DUMMYFUNCTION("""COMPUTED_VALUE"""),"Desktop")</f>
        <v>Desktop</v>
      </c>
      <c r="J217" s="6" t="str">
        <f>IFERROR(__xludf.DUMMYFUNCTION("""COMPUTED_VALUE"""),"Uk")</f>
        <v>Uk</v>
      </c>
      <c r="K217" s="6" t="str">
        <f>IFERROR(__xludf.DUMMYFUNCTION("""COMPUTED_VALUE"""),"Basic")</f>
        <v>Basic</v>
      </c>
      <c r="L217" s="6">
        <f>IFERROR(__xludf.DUMMYFUNCTION("""COMPUTED_VALUE"""),1.0)</f>
        <v>1</v>
      </c>
      <c r="M217" s="6" t="str">
        <f>IFERROR(__xludf.DUMMYFUNCTION("""COMPUTED_VALUE"""),"2023-02")</f>
        <v>2023-02</v>
      </c>
    </row>
    <row r="218">
      <c r="A218" s="6" t="str">
        <f>IFERROR(__xludf.DUMMYFUNCTION("""COMPUTED_VALUE"""),"e1a27833-b0b2-472e-a084-035c63b5f759")</f>
        <v>e1a27833-b0b2-472e-a084-035c63b5f759</v>
      </c>
      <c r="B218" s="6" t="str">
        <f>IFERROR(__xludf.DUMMYFUNCTION("""COMPUTED_VALUE"""),"5d6574dc-d3e1-4087-b3b1-32de9f77fa69")</f>
        <v>5d6574dc-d3e1-4087-b3b1-32de9f77fa69</v>
      </c>
      <c r="C218" s="7">
        <f>IFERROR(__xludf.DUMMYFUNCTION("""COMPUTED_VALUE"""),44989.0)</f>
        <v>44989</v>
      </c>
      <c r="D218" s="8">
        <f>IFERROR(__xludf.DUMMYFUNCTION("""COMPUTED_VALUE"""),1.7648004E7)</f>
        <v>17648004</v>
      </c>
      <c r="E218" s="6" t="str">
        <f>IFERROR(__xludf.DUMMYFUNCTION("""COMPUTED_VALUE"""),"MOVIE")</f>
        <v>MOVIE</v>
      </c>
      <c r="F218" s="6" t="str">
        <f>IFERROR(__xludf.DUMMYFUNCTION("""COMPUTED_VALUE"""),"Drama")</f>
        <v>Drama</v>
      </c>
      <c r="G218" s="6">
        <f>IFERROR(__xludf.DUMMYFUNCTION("""COMPUTED_VALUE"""),130.0)</f>
        <v>130</v>
      </c>
      <c r="H218" s="6">
        <f>IFERROR(__xludf.DUMMYFUNCTION("""COMPUTED_VALUE"""),1.0)</f>
        <v>1</v>
      </c>
      <c r="I218" s="6" t="str">
        <f>IFERROR(__xludf.DUMMYFUNCTION("""COMPUTED_VALUE"""),"Tablet")</f>
        <v>Tablet</v>
      </c>
      <c r="J218" s="6" t="str">
        <f>IFERROR(__xludf.DUMMYFUNCTION("""COMPUTED_VALUE"""),"Germany")</f>
        <v>Germany</v>
      </c>
      <c r="K218" s="6" t="str">
        <f>IFERROR(__xludf.DUMMYFUNCTION("""COMPUTED_VALUE"""),"Standard")</f>
        <v>Standard</v>
      </c>
      <c r="L218" s="6">
        <f>IFERROR(__xludf.DUMMYFUNCTION("""COMPUTED_VALUE"""),0.0)</f>
        <v>0</v>
      </c>
      <c r="M218" s="6" t="str">
        <f>IFERROR(__xludf.DUMMYFUNCTION("""COMPUTED_VALUE"""),"2023-03")</f>
        <v>2023-03</v>
      </c>
    </row>
    <row r="219">
      <c r="A219" s="6" t="str">
        <f>IFERROR(__xludf.DUMMYFUNCTION("""COMPUTED_VALUE"""),"a7c7ec6c-d674-4da9-b2b9-d9886219f57f")</f>
        <v>a7c7ec6c-d674-4da9-b2b9-d9886219f57f</v>
      </c>
      <c r="B219" s="6" t="str">
        <f>IFERROR(__xludf.DUMMYFUNCTION("""COMPUTED_VALUE"""),"5ea7917e-b4e6-489a-8d0d-a057270a8e47")</f>
        <v>5ea7917e-b4e6-489a-8d0d-a057270a8e47</v>
      </c>
      <c r="C219" s="7">
        <f>IFERROR(__xludf.DUMMYFUNCTION("""COMPUTED_VALUE"""),45271.0)</f>
        <v>45271</v>
      </c>
      <c r="D219" s="8">
        <f>IFERROR(__xludf.DUMMYFUNCTION("""COMPUTED_VALUE"""),9353589.0)</f>
        <v>9353589</v>
      </c>
      <c r="E219" s="6" t="str">
        <f>IFERROR(__xludf.DUMMYFUNCTION("""COMPUTED_VALUE"""),"MOVIE")</f>
        <v>MOVIE</v>
      </c>
      <c r="F219" s="6" t="str">
        <f>IFERROR(__xludf.DUMMYFUNCTION("""COMPUTED_VALUE"""),"Action")</f>
        <v>Action</v>
      </c>
      <c r="G219" s="6">
        <f>IFERROR(__xludf.DUMMYFUNCTION("""COMPUTED_VALUE"""),55.0)</f>
        <v>55</v>
      </c>
      <c r="H219" s="6">
        <f>IFERROR(__xludf.DUMMYFUNCTION("""COMPUTED_VALUE"""),1.0)</f>
        <v>1</v>
      </c>
      <c r="I219" s="6" t="str">
        <f>IFERROR(__xludf.DUMMYFUNCTION("""COMPUTED_VALUE"""),"Desktop")</f>
        <v>Desktop</v>
      </c>
      <c r="J219" s="6" t="str">
        <f>IFERROR(__xludf.DUMMYFUNCTION("""COMPUTED_VALUE"""),"India")</f>
        <v>India</v>
      </c>
      <c r="K219" s="6" t="str">
        <f>IFERROR(__xludf.DUMMYFUNCTION("""COMPUTED_VALUE"""),"Standard")</f>
        <v>Standard</v>
      </c>
      <c r="L219" s="6">
        <f>IFERROR(__xludf.DUMMYFUNCTION("""COMPUTED_VALUE"""),0.0)</f>
        <v>0</v>
      </c>
      <c r="M219" s="6" t="str">
        <f>IFERROR(__xludf.DUMMYFUNCTION("""COMPUTED_VALUE"""),"2023-12")</f>
        <v>2023-12</v>
      </c>
    </row>
    <row r="220">
      <c r="A220" s="6" t="str">
        <f>IFERROR(__xludf.DUMMYFUNCTION("""COMPUTED_VALUE"""),"d42d8dd6-04c1-4fd2-8d5f-9bf663790da5")</f>
        <v>d42d8dd6-04c1-4fd2-8d5f-9bf663790da5</v>
      </c>
      <c r="B220" s="6" t="str">
        <f>IFERROR(__xludf.DUMMYFUNCTION("""COMPUTED_VALUE"""),"5ec6a705-8843-4213-95a1-e440bbdf370a")</f>
        <v>5ec6a705-8843-4213-95a1-e440bbdf370a</v>
      </c>
      <c r="C220" s="7">
        <f>IFERROR(__xludf.DUMMYFUNCTION("""COMPUTED_VALUE"""),45186.0)</f>
        <v>45186</v>
      </c>
      <c r="D220" s="8">
        <f>IFERROR(__xludf.DUMMYFUNCTION("""COMPUTED_VALUE"""),4.2916987E7)</f>
        <v>42916987</v>
      </c>
      <c r="E220" s="6" t="str">
        <f>IFERROR(__xludf.DUMMYFUNCTION("""COMPUTED_VALUE"""),"MOVIE")</f>
        <v>MOVIE</v>
      </c>
      <c r="F220" s="6" t="str">
        <f>IFERROR(__xludf.DUMMYFUNCTION("""COMPUTED_VALUE"""),"Sci-Fi")</f>
        <v>Sci-Fi</v>
      </c>
      <c r="G220" s="6">
        <f>IFERROR(__xludf.DUMMYFUNCTION("""COMPUTED_VALUE"""),8.0)</f>
        <v>8</v>
      </c>
      <c r="H220" s="6">
        <f>IFERROR(__xludf.DUMMYFUNCTION("""COMPUTED_VALUE"""),0.0)</f>
        <v>0</v>
      </c>
      <c r="I220" s="6" t="str">
        <f>IFERROR(__xludf.DUMMYFUNCTION("""COMPUTED_VALUE"""),"Mobile")</f>
        <v>Mobile</v>
      </c>
      <c r="J220" s="6" t="str">
        <f>IFERROR(__xludf.DUMMYFUNCTION("""COMPUTED_VALUE"""),"Uk")</f>
        <v>Uk</v>
      </c>
      <c r="K220" s="6" t="str">
        <f>IFERROR(__xludf.DUMMYFUNCTION("""COMPUTED_VALUE"""),"Basic")</f>
        <v>Basic</v>
      </c>
      <c r="L220" s="6">
        <f>IFERROR(__xludf.DUMMYFUNCTION("""COMPUTED_VALUE"""),0.0)</f>
        <v>0</v>
      </c>
      <c r="M220" s="6" t="str">
        <f>IFERROR(__xludf.DUMMYFUNCTION("""COMPUTED_VALUE"""),"2023-09")</f>
        <v>2023-09</v>
      </c>
    </row>
    <row r="221">
      <c r="A221" s="6" t="str">
        <f>IFERROR(__xludf.DUMMYFUNCTION("""COMPUTED_VALUE"""),"1c598fa1-f543-4e48-a96b-72845f698d12")</f>
        <v>1c598fa1-f543-4e48-a96b-72845f698d12</v>
      </c>
      <c r="B221" s="6" t="str">
        <f>IFERROR(__xludf.DUMMYFUNCTION("""COMPUTED_VALUE"""),"5f0c44b8-2407-44b6-87b9-ae99656b6d12")</f>
        <v>5f0c44b8-2407-44b6-87b9-ae99656b6d12</v>
      </c>
      <c r="C221" s="7">
        <f>IFERROR(__xludf.DUMMYFUNCTION("""COMPUTED_VALUE"""),45242.0)</f>
        <v>45242</v>
      </c>
      <c r="D221" s="8">
        <f>IFERROR(__xludf.DUMMYFUNCTION("""COMPUTED_VALUE"""),8.7190922E7)</f>
        <v>87190922</v>
      </c>
      <c r="E221" s="6" t="str">
        <f>IFERROR(__xludf.DUMMYFUNCTION("""COMPUTED_VALUE"""),"DOCUMENTARY")</f>
        <v>DOCUMENTARY</v>
      </c>
      <c r="F221" s="6" t="str">
        <f>IFERROR(__xludf.DUMMYFUNCTION("""COMPUTED_VALUE"""),"Thriller")</f>
        <v>Thriller</v>
      </c>
      <c r="G221" s="6">
        <f>IFERROR(__xludf.DUMMYFUNCTION("""COMPUTED_VALUE"""),5.0)</f>
        <v>5</v>
      </c>
      <c r="H221" s="6">
        <f>IFERROR(__xludf.DUMMYFUNCTION("""COMPUTED_VALUE"""),1.0)</f>
        <v>1</v>
      </c>
      <c r="I221" s="6" t="str">
        <f>IFERROR(__xludf.DUMMYFUNCTION("""COMPUTED_VALUE"""),"Mobile")</f>
        <v>Mobile</v>
      </c>
      <c r="J221" s="6" t="str">
        <f>IFERROR(__xludf.DUMMYFUNCTION("""COMPUTED_VALUE"""),"Usa")</f>
        <v>Usa</v>
      </c>
      <c r="K221" s="6" t="str">
        <f>IFERROR(__xludf.DUMMYFUNCTION("""COMPUTED_VALUE"""),"Standard")</f>
        <v>Standard</v>
      </c>
      <c r="L221" s="6">
        <f>IFERROR(__xludf.DUMMYFUNCTION("""COMPUTED_VALUE"""),0.0)</f>
        <v>0</v>
      </c>
      <c r="M221" s="6" t="str">
        <f>IFERROR(__xludf.DUMMYFUNCTION("""COMPUTED_VALUE"""),"2023-11")</f>
        <v>2023-11</v>
      </c>
    </row>
    <row r="222">
      <c r="A222" s="6" t="str">
        <f>IFERROR(__xludf.DUMMYFUNCTION("""COMPUTED_VALUE"""),"3f74c6e0-41b4-4a6d-9609-e27406fa8f94")</f>
        <v>3f74c6e0-41b4-4a6d-9609-e27406fa8f94</v>
      </c>
      <c r="B222" s="6" t="str">
        <f>IFERROR(__xludf.DUMMYFUNCTION("""COMPUTED_VALUE"""),"5f2784f1-738f-48e5-9a2d-5998fd1a71e2")</f>
        <v>5f2784f1-738f-48e5-9a2d-5998fd1a71e2</v>
      </c>
      <c r="C222" s="7">
        <f>IFERROR(__xludf.DUMMYFUNCTION("""COMPUTED_VALUE"""),44961.0)</f>
        <v>44961</v>
      </c>
      <c r="D222" s="8">
        <f>IFERROR(__xludf.DUMMYFUNCTION("""COMPUTED_VALUE"""),3.8373329E7)</f>
        <v>38373329</v>
      </c>
      <c r="E222" s="6" t="str">
        <f>IFERROR(__xludf.DUMMYFUNCTION("""COMPUTED_VALUE"""),"SERIES")</f>
        <v>SERIES</v>
      </c>
      <c r="F222" s="6" t="str">
        <f>IFERROR(__xludf.DUMMYFUNCTION("""COMPUTED_VALUE"""),"Action")</f>
        <v>Action</v>
      </c>
      <c r="G222" s="6">
        <f>IFERROR(__xludf.DUMMYFUNCTION("""COMPUTED_VALUE"""),169.0)</f>
        <v>169</v>
      </c>
      <c r="H222" s="6">
        <f>IFERROR(__xludf.DUMMYFUNCTION("""COMPUTED_VALUE"""),1.0)</f>
        <v>1</v>
      </c>
      <c r="I222" s="6" t="str">
        <f>IFERROR(__xludf.DUMMYFUNCTION("""COMPUTED_VALUE"""),"Desktop")</f>
        <v>Desktop</v>
      </c>
      <c r="J222" s="6" t="str">
        <f>IFERROR(__xludf.DUMMYFUNCTION("""COMPUTED_VALUE"""),"Uk")</f>
        <v>Uk</v>
      </c>
      <c r="K222" s="6" t="str">
        <f>IFERROR(__xludf.DUMMYFUNCTION("""COMPUTED_VALUE"""),"Standard")</f>
        <v>Standard</v>
      </c>
      <c r="L222" s="6">
        <f>IFERROR(__xludf.DUMMYFUNCTION("""COMPUTED_VALUE"""),0.0)</f>
        <v>0</v>
      </c>
      <c r="M222" s="6" t="str">
        <f>IFERROR(__xludf.DUMMYFUNCTION("""COMPUTED_VALUE"""),"2023-02")</f>
        <v>2023-02</v>
      </c>
    </row>
    <row r="223">
      <c r="A223" s="6" t="str">
        <f>IFERROR(__xludf.DUMMYFUNCTION("""COMPUTED_VALUE"""),"9b7bb109-d01b-4f9d-a396-c5f69fbdacfc")</f>
        <v>9b7bb109-d01b-4f9d-a396-c5f69fbdacfc</v>
      </c>
      <c r="B223" s="6" t="str">
        <f>IFERROR(__xludf.DUMMYFUNCTION("""COMPUTED_VALUE"""),"5f6fbe73-6cc3-4cb2-a94a-07acdb1f97c8")</f>
        <v>5f6fbe73-6cc3-4cb2-a94a-07acdb1f97c8</v>
      </c>
      <c r="C223" s="7">
        <f>IFERROR(__xludf.DUMMYFUNCTION("""COMPUTED_VALUE"""),45017.0)</f>
        <v>45017</v>
      </c>
      <c r="D223" s="8">
        <f>IFERROR(__xludf.DUMMYFUNCTION("""COMPUTED_VALUE"""),3.7949594E7)</f>
        <v>37949594</v>
      </c>
      <c r="E223" s="6" t="str">
        <f>IFERROR(__xludf.DUMMYFUNCTION("""COMPUTED_VALUE"""),"MOVIE")</f>
        <v>MOVIE</v>
      </c>
      <c r="F223" s="6" t="str">
        <f>IFERROR(__xludf.DUMMYFUNCTION("""COMPUTED_VALUE"""),"Thriller")</f>
        <v>Thriller</v>
      </c>
      <c r="G223" s="6">
        <f>IFERROR(__xludf.DUMMYFUNCTION("""COMPUTED_VALUE"""),98.0)</f>
        <v>98</v>
      </c>
      <c r="H223" s="6">
        <f>IFERROR(__xludf.DUMMYFUNCTION("""COMPUTED_VALUE"""),1.0)</f>
        <v>1</v>
      </c>
      <c r="I223" s="6" t="str">
        <f>IFERROR(__xludf.DUMMYFUNCTION("""COMPUTED_VALUE"""),"Desktop")</f>
        <v>Desktop</v>
      </c>
      <c r="J223" s="6" t="str">
        <f>IFERROR(__xludf.DUMMYFUNCTION("""COMPUTED_VALUE"""),"Usa")</f>
        <v>Usa</v>
      </c>
      <c r="K223" s="6" t="str">
        <f>IFERROR(__xludf.DUMMYFUNCTION("""COMPUTED_VALUE"""),"Premium")</f>
        <v>Premium</v>
      </c>
      <c r="L223" s="6">
        <f>IFERROR(__xludf.DUMMYFUNCTION("""COMPUTED_VALUE"""),0.0)</f>
        <v>0</v>
      </c>
      <c r="M223" s="6" t="str">
        <f>IFERROR(__xludf.DUMMYFUNCTION("""COMPUTED_VALUE"""),"2023-04")</f>
        <v>2023-04</v>
      </c>
    </row>
    <row r="224">
      <c r="A224" s="6" t="str">
        <f>IFERROR(__xludf.DUMMYFUNCTION("""COMPUTED_VALUE"""),"e7a5c9c1-b5af-4ee9-99a1-2bd73d7527e8")</f>
        <v>e7a5c9c1-b5af-4ee9-99a1-2bd73d7527e8</v>
      </c>
      <c r="B224" s="6" t="str">
        <f>IFERROR(__xludf.DUMMYFUNCTION("""COMPUTED_VALUE"""),"5fc94ee2-b769-4c60-bc17-7ddfd3a50bea")</f>
        <v>5fc94ee2-b769-4c60-bc17-7ddfd3a50bea</v>
      </c>
      <c r="C224" s="7">
        <f>IFERROR(__xludf.DUMMYFUNCTION("""COMPUTED_VALUE"""),45095.0)</f>
        <v>45095</v>
      </c>
      <c r="D224" s="8">
        <f>IFERROR(__xludf.DUMMYFUNCTION("""COMPUTED_VALUE"""),4.5214103E7)</f>
        <v>45214103</v>
      </c>
      <c r="E224" s="6" t="str">
        <f>IFERROR(__xludf.DUMMYFUNCTION("""COMPUTED_VALUE"""),"SERIES")</f>
        <v>SERIES</v>
      </c>
      <c r="F224" s="6" t="str">
        <f>IFERROR(__xludf.DUMMYFUNCTION("""COMPUTED_VALUE"""),"Sci-Fi")</f>
        <v>Sci-Fi</v>
      </c>
      <c r="G224" s="6">
        <f>IFERROR(__xludf.DUMMYFUNCTION("""COMPUTED_VALUE"""),121.0)</f>
        <v>121</v>
      </c>
      <c r="H224" s="6">
        <f>IFERROR(__xludf.DUMMYFUNCTION("""COMPUTED_VALUE"""),1.0)</f>
        <v>1</v>
      </c>
      <c r="I224" s="6" t="str">
        <f>IFERROR(__xludf.DUMMYFUNCTION("""COMPUTED_VALUE"""),"Desktop")</f>
        <v>Desktop</v>
      </c>
      <c r="J224" s="6" t="str">
        <f>IFERROR(__xludf.DUMMYFUNCTION("""COMPUTED_VALUE"""),"India")</f>
        <v>India</v>
      </c>
      <c r="K224" s="6" t="str">
        <f>IFERROR(__xludf.DUMMYFUNCTION("""COMPUTED_VALUE"""),"Standard")</f>
        <v>Standard</v>
      </c>
      <c r="L224" s="6">
        <f>IFERROR(__xludf.DUMMYFUNCTION("""COMPUTED_VALUE"""),0.0)</f>
        <v>0</v>
      </c>
      <c r="M224" s="6" t="str">
        <f>IFERROR(__xludf.DUMMYFUNCTION("""COMPUTED_VALUE"""),"2023-06")</f>
        <v>2023-06</v>
      </c>
    </row>
    <row r="225">
      <c r="A225" s="6" t="str">
        <f>IFERROR(__xludf.DUMMYFUNCTION("""COMPUTED_VALUE"""),"71564d3a-919b-4e9a-9252-b7cfed0c46ce")</f>
        <v>71564d3a-919b-4e9a-9252-b7cfed0c46ce</v>
      </c>
      <c r="B225" s="6" t="str">
        <f>IFERROR(__xludf.DUMMYFUNCTION("""COMPUTED_VALUE"""),"601bb630-1c24-446f-b56d-482db8f05971")</f>
        <v>601bb630-1c24-446f-b56d-482db8f05971</v>
      </c>
      <c r="C225" s="7">
        <f>IFERROR(__xludf.DUMMYFUNCTION("""COMPUTED_VALUE"""),45199.0)</f>
        <v>45199</v>
      </c>
      <c r="D225" s="8">
        <f>IFERROR(__xludf.DUMMYFUNCTION("""COMPUTED_VALUE"""),3.1222877E7)</f>
        <v>31222877</v>
      </c>
      <c r="E225" s="6" t="str">
        <f>IFERROR(__xludf.DUMMYFUNCTION("""COMPUTED_VALUE"""),"SERIES")</f>
        <v>SERIES</v>
      </c>
      <c r="F225" s="6" t="str">
        <f>IFERROR(__xludf.DUMMYFUNCTION("""COMPUTED_VALUE"""),"Sci-Fi")</f>
        <v>Sci-Fi</v>
      </c>
      <c r="G225" s="6">
        <f>IFERROR(__xludf.DUMMYFUNCTION("""COMPUTED_VALUE"""),177.0)</f>
        <v>177</v>
      </c>
      <c r="H225" s="6">
        <f>IFERROR(__xludf.DUMMYFUNCTION("""COMPUTED_VALUE"""),1.0)</f>
        <v>1</v>
      </c>
      <c r="I225" s="6" t="str">
        <f>IFERROR(__xludf.DUMMYFUNCTION("""COMPUTED_VALUE"""),"Smart Tv")</f>
        <v>Smart Tv</v>
      </c>
      <c r="J225" s="6" t="str">
        <f>IFERROR(__xludf.DUMMYFUNCTION("""COMPUTED_VALUE"""),"France")</f>
        <v>France</v>
      </c>
      <c r="K225" s="6" t="str">
        <f>IFERROR(__xludf.DUMMYFUNCTION("""COMPUTED_VALUE"""),"Standard")</f>
        <v>Standard</v>
      </c>
      <c r="L225" s="6">
        <f>IFERROR(__xludf.DUMMYFUNCTION("""COMPUTED_VALUE"""),0.0)</f>
        <v>0</v>
      </c>
      <c r="M225" s="6" t="str">
        <f>IFERROR(__xludf.DUMMYFUNCTION("""COMPUTED_VALUE"""),"2023-09")</f>
        <v>2023-09</v>
      </c>
    </row>
    <row r="226">
      <c r="A226" s="6" t="str">
        <f>IFERROR(__xludf.DUMMYFUNCTION("""COMPUTED_VALUE"""),"0fc54496-74ab-4658-80d1-e139b8cd969b")</f>
        <v>0fc54496-74ab-4658-80d1-e139b8cd969b</v>
      </c>
      <c r="B226" s="6" t="str">
        <f>IFERROR(__xludf.DUMMYFUNCTION("""COMPUTED_VALUE"""),"601cd700-5665-4d06-b51c-d227d2786f93")</f>
        <v>601cd700-5665-4d06-b51c-d227d2786f93</v>
      </c>
      <c r="C226" s="7">
        <f>IFERROR(__xludf.DUMMYFUNCTION("""COMPUTED_VALUE"""),44999.0)</f>
        <v>44999</v>
      </c>
      <c r="D226" s="8">
        <f>IFERROR(__xludf.DUMMYFUNCTION("""COMPUTED_VALUE"""),1808711.0)</f>
        <v>1808711</v>
      </c>
      <c r="E226" s="6" t="str">
        <f>IFERROR(__xludf.DUMMYFUNCTION("""COMPUTED_VALUE"""),"SERIES")</f>
        <v>SERIES</v>
      </c>
      <c r="F226" s="6" t="str">
        <f>IFERROR(__xludf.DUMMYFUNCTION("""COMPUTED_VALUE"""),"Drama")</f>
        <v>Drama</v>
      </c>
      <c r="G226" s="6">
        <f>IFERROR(__xludf.DUMMYFUNCTION("""COMPUTED_VALUE"""),171.0)</f>
        <v>171</v>
      </c>
      <c r="H226" s="6">
        <f>IFERROR(__xludf.DUMMYFUNCTION("""COMPUTED_VALUE"""),1.0)</f>
        <v>1</v>
      </c>
      <c r="I226" s="6" t="str">
        <f>IFERROR(__xludf.DUMMYFUNCTION("""COMPUTED_VALUE"""),"Desktop")</f>
        <v>Desktop</v>
      </c>
      <c r="J226" s="6" t="str">
        <f>IFERROR(__xludf.DUMMYFUNCTION("""COMPUTED_VALUE"""),"India")</f>
        <v>India</v>
      </c>
      <c r="K226" s="6" t="str">
        <f>IFERROR(__xludf.DUMMYFUNCTION("""COMPUTED_VALUE"""),"Premium")</f>
        <v>Premium</v>
      </c>
      <c r="L226" s="6">
        <f>IFERROR(__xludf.DUMMYFUNCTION("""COMPUTED_VALUE"""),0.0)</f>
        <v>0</v>
      </c>
      <c r="M226" s="6" t="str">
        <f>IFERROR(__xludf.DUMMYFUNCTION("""COMPUTED_VALUE"""),"2023-03")</f>
        <v>2023-03</v>
      </c>
    </row>
    <row r="227">
      <c r="A227" s="6" t="str">
        <f>IFERROR(__xludf.DUMMYFUNCTION("""COMPUTED_VALUE"""),"31b72979-04d6-4b6f-8fea-a2f4645101b8")</f>
        <v>31b72979-04d6-4b6f-8fea-a2f4645101b8</v>
      </c>
      <c r="B227" s="6" t="str">
        <f>IFERROR(__xludf.DUMMYFUNCTION("""COMPUTED_VALUE"""),"60286ee0-5526-40ce-a430-4d47db54d7ee")</f>
        <v>60286ee0-5526-40ce-a430-4d47db54d7ee</v>
      </c>
      <c r="C227" s="7">
        <f>IFERROR(__xludf.DUMMYFUNCTION("""COMPUTED_VALUE"""),45214.0)</f>
        <v>45214</v>
      </c>
      <c r="D227" s="8">
        <f>IFERROR(__xludf.DUMMYFUNCTION("""COMPUTED_VALUE"""),7.0989533E7)</f>
        <v>70989533</v>
      </c>
      <c r="E227" s="6" t="str">
        <f>IFERROR(__xludf.DUMMYFUNCTION("""COMPUTED_VALUE"""),"MOVIE")</f>
        <v>MOVIE</v>
      </c>
      <c r="F227" s="6" t="str">
        <f>IFERROR(__xludf.DUMMYFUNCTION("""COMPUTED_VALUE"""),"Comedy")</f>
        <v>Comedy</v>
      </c>
      <c r="G227" s="6">
        <f>IFERROR(__xludf.DUMMYFUNCTION("""COMPUTED_VALUE"""),68.0)</f>
        <v>68</v>
      </c>
      <c r="H227" s="6">
        <f>IFERROR(__xludf.DUMMYFUNCTION("""COMPUTED_VALUE"""),0.0)</f>
        <v>0</v>
      </c>
      <c r="I227" s="6" t="str">
        <f>IFERROR(__xludf.DUMMYFUNCTION("""COMPUTED_VALUE"""),"Desktop")</f>
        <v>Desktop</v>
      </c>
      <c r="J227" s="6" t="str">
        <f>IFERROR(__xludf.DUMMYFUNCTION("""COMPUTED_VALUE"""),"Uk")</f>
        <v>Uk</v>
      </c>
      <c r="K227" s="6" t="str">
        <f>IFERROR(__xludf.DUMMYFUNCTION("""COMPUTED_VALUE"""),"Basic")</f>
        <v>Basic</v>
      </c>
      <c r="L227" s="6">
        <f>IFERROR(__xludf.DUMMYFUNCTION("""COMPUTED_VALUE"""),0.0)</f>
        <v>0</v>
      </c>
      <c r="M227" s="6" t="str">
        <f>IFERROR(__xludf.DUMMYFUNCTION("""COMPUTED_VALUE"""),"2023-10")</f>
        <v>2023-10</v>
      </c>
    </row>
    <row r="228">
      <c r="A228" s="6" t="str">
        <f>IFERROR(__xludf.DUMMYFUNCTION("""COMPUTED_VALUE"""),"11e180aa-0142-4f75-b872-b60cfa4e30e4")</f>
        <v>11e180aa-0142-4f75-b872-b60cfa4e30e4</v>
      </c>
      <c r="B228" s="6" t="str">
        <f>IFERROR(__xludf.DUMMYFUNCTION("""COMPUTED_VALUE"""),"602f0f2c-910b-4014-a9f2-53412a92677c")</f>
        <v>602f0f2c-910b-4014-a9f2-53412a92677c</v>
      </c>
      <c r="C228" s="7">
        <f>IFERROR(__xludf.DUMMYFUNCTION("""COMPUTED_VALUE"""),45026.0)</f>
        <v>45026</v>
      </c>
      <c r="D228" s="8">
        <f>IFERROR(__xludf.DUMMYFUNCTION("""COMPUTED_VALUE"""),5.3324993E7)</f>
        <v>53324993</v>
      </c>
      <c r="E228" s="6" t="str">
        <f>IFERROR(__xludf.DUMMYFUNCTION("""COMPUTED_VALUE"""),"SERIES")</f>
        <v>SERIES</v>
      </c>
      <c r="F228" s="6" t="str">
        <f>IFERROR(__xludf.DUMMYFUNCTION("""COMPUTED_VALUE"""),"Thriller")</f>
        <v>Thriller</v>
      </c>
      <c r="G228" s="6">
        <f>IFERROR(__xludf.DUMMYFUNCTION("""COMPUTED_VALUE"""),168.0)</f>
        <v>168</v>
      </c>
      <c r="H228" s="6">
        <f>IFERROR(__xludf.DUMMYFUNCTION("""COMPUTED_VALUE"""),1.0)</f>
        <v>1</v>
      </c>
      <c r="I228" s="6" t="str">
        <f>IFERROR(__xludf.DUMMYFUNCTION("""COMPUTED_VALUE"""),"Mobile")</f>
        <v>Mobile</v>
      </c>
      <c r="J228" s="6" t="str">
        <f>IFERROR(__xludf.DUMMYFUNCTION("""COMPUTED_VALUE"""),"Usa")</f>
        <v>Usa</v>
      </c>
      <c r="K228" s="6" t="str">
        <f>IFERROR(__xludf.DUMMYFUNCTION("""COMPUTED_VALUE"""),"Premium")</f>
        <v>Premium</v>
      </c>
      <c r="L228" s="6">
        <f>IFERROR(__xludf.DUMMYFUNCTION("""COMPUTED_VALUE"""),0.0)</f>
        <v>0</v>
      </c>
      <c r="M228" s="6" t="str">
        <f>IFERROR(__xludf.DUMMYFUNCTION("""COMPUTED_VALUE"""),"2023-04")</f>
        <v>2023-04</v>
      </c>
    </row>
    <row r="229">
      <c r="A229" s="6" t="str">
        <f>IFERROR(__xludf.DUMMYFUNCTION("""COMPUTED_VALUE"""),"9198047b-e935-4784-ad56-33bbfbec6400")</f>
        <v>9198047b-e935-4784-ad56-33bbfbec6400</v>
      </c>
      <c r="B229" s="6" t="str">
        <f>IFERROR(__xludf.DUMMYFUNCTION("""COMPUTED_VALUE"""),"6053a94b-9db0-4e9a-8c24-8f080cf1a812")</f>
        <v>6053a94b-9db0-4e9a-8c24-8f080cf1a812</v>
      </c>
      <c r="C229" s="7">
        <f>IFERROR(__xludf.DUMMYFUNCTION("""COMPUTED_VALUE"""),44991.0)</f>
        <v>44991</v>
      </c>
      <c r="D229" s="8">
        <f>IFERROR(__xludf.DUMMYFUNCTION("""COMPUTED_VALUE"""),2.8734093E7)</f>
        <v>28734093</v>
      </c>
      <c r="E229" s="6" t="str">
        <f>IFERROR(__xludf.DUMMYFUNCTION("""COMPUTED_VALUE"""),"MOVIE")</f>
        <v>MOVIE</v>
      </c>
      <c r="F229" s="6" t="str">
        <f>IFERROR(__xludf.DUMMYFUNCTION("""COMPUTED_VALUE"""),"Drama")</f>
        <v>Drama</v>
      </c>
      <c r="G229" s="6">
        <f>IFERROR(__xludf.DUMMYFUNCTION("""COMPUTED_VALUE"""),146.0)</f>
        <v>146</v>
      </c>
      <c r="H229" s="6">
        <f>IFERROR(__xludf.DUMMYFUNCTION("""COMPUTED_VALUE"""),1.0)</f>
        <v>1</v>
      </c>
      <c r="I229" s="6" t="str">
        <f>IFERROR(__xludf.DUMMYFUNCTION("""COMPUTED_VALUE"""),"Mobile")</f>
        <v>Mobile</v>
      </c>
      <c r="J229" s="6" t="str">
        <f>IFERROR(__xludf.DUMMYFUNCTION("""COMPUTED_VALUE"""),"India")</f>
        <v>India</v>
      </c>
      <c r="K229" s="6" t="str">
        <f>IFERROR(__xludf.DUMMYFUNCTION("""COMPUTED_VALUE"""),"Basic")</f>
        <v>Basic</v>
      </c>
      <c r="L229" s="6">
        <f>IFERROR(__xludf.DUMMYFUNCTION("""COMPUTED_VALUE"""),0.0)</f>
        <v>0</v>
      </c>
      <c r="M229" s="6" t="str">
        <f>IFERROR(__xludf.DUMMYFUNCTION("""COMPUTED_VALUE"""),"2023-03")</f>
        <v>2023-03</v>
      </c>
    </row>
    <row r="230">
      <c r="A230" s="6" t="str">
        <f>IFERROR(__xludf.DUMMYFUNCTION("""COMPUTED_VALUE"""),"1dcdb3d3-e90c-4e9c-aed9-7bb2aa432be3")</f>
        <v>1dcdb3d3-e90c-4e9c-aed9-7bb2aa432be3</v>
      </c>
      <c r="B230" s="6" t="str">
        <f>IFERROR(__xludf.DUMMYFUNCTION("""COMPUTED_VALUE"""),"60ba582c-667f-406a-821e-9446a54255f3")</f>
        <v>60ba582c-667f-406a-821e-9446a54255f3</v>
      </c>
      <c r="C230" s="7">
        <f>IFERROR(__xludf.DUMMYFUNCTION("""COMPUTED_VALUE"""),45248.0)</f>
        <v>45248</v>
      </c>
      <c r="D230" s="8">
        <f>IFERROR(__xludf.DUMMYFUNCTION("""COMPUTED_VALUE"""),518932.0)</f>
        <v>518932</v>
      </c>
      <c r="E230" s="6" t="str">
        <f>IFERROR(__xludf.DUMMYFUNCTION("""COMPUTED_VALUE"""),"SERIES")</f>
        <v>SERIES</v>
      </c>
      <c r="F230" s="6" t="str">
        <f>IFERROR(__xludf.DUMMYFUNCTION("""COMPUTED_VALUE"""),"Sci-Fi")</f>
        <v>Sci-Fi</v>
      </c>
      <c r="G230" s="6">
        <f>IFERROR(__xludf.DUMMYFUNCTION("""COMPUTED_VALUE"""),118.0)</f>
        <v>118</v>
      </c>
      <c r="H230" s="6">
        <f>IFERROR(__xludf.DUMMYFUNCTION("""COMPUTED_VALUE"""),1.0)</f>
        <v>1</v>
      </c>
      <c r="I230" s="6" t="str">
        <f>IFERROR(__xludf.DUMMYFUNCTION("""COMPUTED_VALUE"""),"Desktop")</f>
        <v>Desktop</v>
      </c>
      <c r="J230" s="6" t="str">
        <f>IFERROR(__xludf.DUMMYFUNCTION("""COMPUTED_VALUE"""),"India")</f>
        <v>India</v>
      </c>
      <c r="K230" s="6" t="str">
        <f>IFERROR(__xludf.DUMMYFUNCTION("""COMPUTED_VALUE"""),"Basic")</f>
        <v>Basic</v>
      </c>
      <c r="L230" s="6">
        <f>IFERROR(__xludf.DUMMYFUNCTION("""COMPUTED_VALUE"""),0.0)</f>
        <v>0</v>
      </c>
      <c r="M230" s="6" t="str">
        <f>IFERROR(__xludf.DUMMYFUNCTION("""COMPUTED_VALUE"""),"2023-11")</f>
        <v>2023-11</v>
      </c>
    </row>
    <row r="231">
      <c r="A231" s="6" t="str">
        <f>IFERROR(__xludf.DUMMYFUNCTION("""COMPUTED_VALUE"""),"0cdab216-ecf5-44ff-a36f-ff850cb61777")</f>
        <v>0cdab216-ecf5-44ff-a36f-ff850cb61777</v>
      </c>
      <c r="B231" s="6" t="str">
        <f>IFERROR(__xludf.DUMMYFUNCTION("""COMPUTED_VALUE"""),"60c00bd9-5cf8-417e-ac34-324534cfa45e")</f>
        <v>60c00bd9-5cf8-417e-ac34-324534cfa45e</v>
      </c>
      <c r="C231" s="7">
        <f>IFERROR(__xludf.DUMMYFUNCTION("""COMPUTED_VALUE"""),45197.0)</f>
        <v>45197</v>
      </c>
      <c r="D231" s="8">
        <f>IFERROR(__xludf.DUMMYFUNCTION("""COMPUTED_VALUE"""),9.5257976E7)</f>
        <v>95257976</v>
      </c>
      <c r="E231" s="6" t="str">
        <f>IFERROR(__xludf.DUMMYFUNCTION("""COMPUTED_VALUE"""),"MOVIE")</f>
        <v>MOVIE</v>
      </c>
      <c r="F231" s="6" t="str">
        <f>IFERROR(__xludf.DUMMYFUNCTION("""COMPUTED_VALUE"""),"Comedy")</f>
        <v>Comedy</v>
      </c>
      <c r="G231" s="6">
        <f>IFERROR(__xludf.DUMMYFUNCTION("""COMPUTED_VALUE"""),142.0)</f>
        <v>142</v>
      </c>
      <c r="H231" s="6">
        <f>IFERROR(__xludf.DUMMYFUNCTION("""COMPUTED_VALUE"""),1.0)</f>
        <v>1</v>
      </c>
      <c r="I231" s="6" t="str">
        <f>IFERROR(__xludf.DUMMYFUNCTION("""COMPUTED_VALUE"""),"Desktop")</f>
        <v>Desktop</v>
      </c>
      <c r="J231" s="6" t="str">
        <f>IFERROR(__xludf.DUMMYFUNCTION("""COMPUTED_VALUE"""),"France")</f>
        <v>France</v>
      </c>
      <c r="K231" s="6" t="str">
        <f>IFERROR(__xludf.DUMMYFUNCTION("""COMPUTED_VALUE"""),"Basic")</f>
        <v>Basic</v>
      </c>
      <c r="L231" s="6">
        <f>IFERROR(__xludf.DUMMYFUNCTION("""COMPUTED_VALUE"""),0.0)</f>
        <v>0</v>
      </c>
      <c r="M231" s="6" t="str">
        <f>IFERROR(__xludf.DUMMYFUNCTION("""COMPUTED_VALUE"""),"2023-09")</f>
        <v>2023-09</v>
      </c>
    </row>
    <row r="232">
      <c r="A232" s="6" t="str">
        <f>IFERROR(__xludf.DUMMYFUNCTION("""COMPUTED_VALUE"""),"42870640-3b86-458b-80ce-47214ff0394d")</f>
        <v>42870640-3b86-458b-80ce-47214ff0394d</v>
      </c>
      <c r="B232" s="6" t="str">
        <f>IFERROR(__xludf.DUMMYFUNCTION("""COMPUTED_VALUE"""),"60f210f0-06ad-4140-883d-5ca3616a87da")</f>
        <v>60f210f0-06ad-4140-883d-5ca3616a87da</v>
      </c>
      <c r="C232" s="7">
        <f>IFERROR(__xludf.DUMMYFUNCTION("""COMPUTED_VALUE"""),45266.0)</f>
        <v>45266</v>
      </c>
      <c r="D232" s="8">
        <f>IFERROR(__xludf.DUMMYFUNCTION("""COMPUTED_VALUE"""),7.5300371E7)</f>
        <v>75300371</v>
      </c>
      <c r="E232" s="6" t="str">
        <f>IFERROR(__xludf.DUMMYFUNCTION("""COMPUTED_VALUE"""),"DOCUMENTARY")</f>
        <v>DOCUMENTARY</v>
      </c>
      <c r="F232" s="6" t="str">
        <f>IFERROR(__xludf.DUMMYFUNCTION("""COMPUTED_VALUE"""),"Comedy")</f>
        <v>Comedy</v>
      </c>
      <c r="G232" s="6">
        <f>IFERROR(__xludf.DUMMYFUNCTION("""COMPUTED_VALUE"""),18.0)</f>
        <v>18</v>
      </c>
      <c r="H232" s="6">
        <f>IFERROR(__xludf.DUMMYFUNCTION("""COMPUTED_VALUE"""),1.0)</f>
        <v>1</v>
      </c>
      <c r="I232" s="6" t="str">
        <f>IFERROR(__xludf.DUMMYFUNCTION("""COMPUTED_VALUE"""),"Mobile")</f>
        <v>Mobile</v>
      </c>
      <c r="J232" s="6" t="str">
        <f>IFERROR(__xludf.DUMMYFUNCTION("""COMPUTED_VALUE"""),"Usa")</f>
        <v>Usa</v>
      </c>
      <c r="K232" s="6" t="str">
        <f>IFERROR(__xludf.DUMMYFUNCTION("""COMPUTED_VALUE"""),"Standard")</f>
        <v>Standard</v>
      </c>
      <c r="L232" s="6">
        <f>IFERROR(__xludf.DUMMYFUNCTION("""COMPUTED_VALUE"""),0.0)</f>
        <v>0</v>
      </c>
      <c r="M232" s="6" t="str">
        <f>IFERROR(__xludf.DUMMYFUNCTION("""COMPUTED_VALUE"""),"2023-12")</f>
        <v>2023-12</v>
      </c>
    </row>
    <row r="233">
      <c r="A233" s="6" t="str">
        <f>IFERROR(__xludf.DUMMYFUNCTION("""COMPUTED_VALUE"""),"92126ff1-9fa1-46c9-82eb-d7728623ee6d")</f>
        <v>92126ff1-9fa1-46c9-82eb-d7728623ee6d</v>
      </c>
      <c r="B233" s="6" t="str">
        <f>IFERROR(__xludf.DUMMYFUNCTION("""COMPUTED_VALUE"""),"616d43a7-f2e9-4518-bd35-2afc06e1fb5e")</f>
        <v>616d43a7-f2e9-4518-bd35-2afc06e1fb5e</v>
      </c>
      <c r="C233" s="7">
        <f>IFERROR(__xludf.DUMMYFUNCTION("""COMPUTED_VALUE"""),44955.0)</f>
        <v>44955</v>
      </c>
      <c r="D233" s="8">
        <f>IFERROR(__xludf.DUMMYFUNCTION("""COMPUTED_VALUE"""),8.8584157E7)</f>
        <v>88584157</v>
      </c>
      <c r="E233" s="6" t="str">
        <f>IFERROR(__xludf.DUMMYFUNCTION("""COMPUTED_VALUE"""),"SERIES")</f>
        <v>SERIES</v>
      </c>
      <c r="F233" s="6" t="str">
        <f>IFERROR(__xludf.DUMMYFUNCTION("""COMPUTED_VALUE"""),"Sci-Fi")</f>
        <v>Sci-Fi</v>
      </c>
      <c r="G233" s="6">
        <f>IFERROR(__xludf.DUMMYFUNCTION("""COMPUTED_VALUE"""),168.0)</f>
        <v>168</v>
      </c>
      <c r="H233" s="6">
        <f>IFERROR(__xludf.DUMMYFUNCTION("""COMPUTED_VALUE"""),1.0)</f>
        <v>1</v>
      </c>
      <c r="I233" s="6" t="str">
        <f>IFERROR(__xludf.DUMMYFUNCTION("""COMPUTED_VALUE"""),"Tablet")</f>
        <v>Tablet</v>
      </c>
      <c r="J233" s="6" t="str">
        <f>IFERROR(__xludf.DUMMYFUNCTION("""COMPUTED_VALUE"""),"Uk")</f>
        <v>Uk</v>
      </c>
      <c r="K233" s="6" t="str">
        <f>IFERROR(__xludf.DUMMYFUNCTION("""COMPUTED_VALUE"""),"Basic")</f>
        <v>Basic</v>
      </c>
      <c r="L233" s="6">
        <f>IFERROR(__xludf.DUMMYFUNCTION("""COMPUTED_VALUE"""),0.0)</f>
        <v>0</v>
      </c>
      <c r="M233" s="6" t="str">
        <f>IFERROR(__xludf.DUMMYFUNCTION("""COMPUTED_VALUE"""),"2023-01")</f>
        <v>2023-01</v>
      </c>
    </row>
    <row r="234">
      <c r="A234" s="6" t="str">
        <f>IFERROR(__xludf.DUMMYFUNCTION("""COMPUTED_VALUE"""),"7a3e059d-8181-42f8-a35f-b5778d73b68a")</f>
        <v>7a3e059d-8181-42f8-a35f-b5778d73b68a</v>
      </c>
      <c r="B234" s="6" t="str">
        <f>IFERROR(__xludf.DUMMYFUNCTION("""COMPUTED_VALUE"""),"619ea432-f78c-4f9b-a379-c6c403395ac4")</f>
        <v>619ea432-f78c-4f9b-a379-c6c403395ac4</v>
      </c>
      <c r="C234" s="7">
        <f>IFERROR(__xludf.DUMMYFUNCTION("""COMPUTED_VALUE"""),45245.0)</f>
        <v>45245</v>
      </c>
      <c r="D234" s="8">
        <f>IFERROR(__xludf.DUMMYFUNCTION("""COMPUTED_VALUE"""),7.5664282E7)</f>
        <v>75664282</v>
      </c>
      <c r="E234" s="6" t="str">
        <f>IFERROR(__xludf.DUMMYFUNCTION("""COMPUTED_VALUE"""),"MOVIE")</f>
        <v>MOVIE</v>
      </c>
      <c r="F234" s="6" t="str">
        <f>IFERROR(__xludf.DUMMYFUNCTION("""COMPUTED_VALUE"""),"Action")</f>
        <v>Action</v>
      </c>
      <c r="G234" s="6">
        <f>IFERROR(__xludf.DUMMYFUNCTION("""COMPUTED_VALUE"""),87.0)</f>
        <v>87</v>
      </c>
      <c r="H234" s="6">
        <f>IFERROR(__xludf.DUMMYFUNCTION("""COMPUTED_VALUE"""),1.0)</f>
        <v>1</v>
      </c>
      <c r="I234" s="6" t="str">
        <f>IFERROR(__xludf.DUMMYFUNCTION("""COMPUTED_VALUE"""),"Tablet")</f>
        <v>Tablet</v>
      </c>
      <c r="J234" s="6" t="str">
        <f>IFERROR(__xludf.DUMMYFUNCTION("""COMPUTED_VALUE"""),"India")</f>
        <v>India</v>
      </c>
      <c r="K234" s="6" t="str">
        <f>IFERROR(__xludf.DUMMYFUNCTION("""COMPUTED_VALUE"""),"Standard")</f>
        <v>Standard</v>
      </c>
      <c r="L234" s="6">
        <f>IFERROR(__xludf.DUMMYFUNCTION("""COMPUTED_VALUE"""),0.0)</f>
        <v>0</v>
      </c>
      <c r="M234" s="6" t="str">
        <f>IFERROR(__xludf.DUMMYFUNCTION("""COMPUTED_VALUE"""),"2023-11")</f>
        <v>2023-11</v>
      </c>
    </row>
    <row r="235">
      <c r="A235" s="6" t="str">
        <f>IFERROR(__xludf.DUMMYFUNCTION("""COMPUTED_VALUE"""),"7d03dd28-2400-4dbe-aac3-3886c89c59fa")</f>
        <v>7d03dd28-2400-4dbe-aac3-3886c89c59fa</v>
      </c>
      <c r="B235" s="6" t="str">
        <f>IFERROR(__xludf.DUMMYFUNCTION("""COMPUTED_VALUE"""),"63592e06-dbcc-48e9-91df-13abc6879c27")</f>
        <v>63592e06-dbcc-48e9-91df-13abc6879c27</v>
      </c>
      <c r="C235" s="7">
        <f>IFERROR(__xludf.DUMMYFUNCTION("""COMPUTED_VALUE"""),45114.0)</f>
        <v>45114</v>
      </c>
      <c r="D235" s="8">
        <f>IFERROR(__xludf.DUMMYFUNCTION("""COMPUTED_VALUE"""),7.1131542E7)</f>
        <v>71131542</v>
      </c>
      <c r="E235" s="6" t="str">
        <f>IFERROR(__xludf.DUMMYFUNCTION("""COMPUTED_VALUE"""),"DOCUMENTARY")</f>
        <v>DOCUMENTARY</v>
      </c>
      <c r="F235" s="6" t="str">
        <f>IFERROR(__xludf.DUMMYFUNCTION("""COMPUTED_VALUE"""),"Sci-Fi")</f>
        <v>Sci-Fi</v>
      </c>
      <c r="G235" s="6">
        <f>IFERROR(__xludf.DUMMYFUNCTION("""COMPUTED_VALUE"""),139.0)</f>
        <v>139</v>
      </c>
      <c r="H235" s="6">
        <f>IFERROR(__xludf.DUMMYFUNCTION("""COMPUTED_VALUE"""),1.0)</f>
        <v>1</v>
      </c>
      <c r="I235" s="6" t="str">
        <f>IFERROR(__xludf.DUMMYFUNCTION("""COMPUTED_VALUE"""),"Smart Tv")</f>
        <v>Smart Tv</v>
      </c>
      <c r="J235" s="6" t="str">
        <f>IFERROR(__xludf.DUMMYFUNCTION("""COMPUTED_VALUE"""),"Uk")</f>
        <v>Uk</v>
      </c>
      <c r="K235" s="6" t="str">
        <f>IFERROR(__xludf.DUMMYFUNCTION("""COMPUTED_VALUE"""),"Standard")</f>
        <v>Standard</v>
      </c>
      <c r="L235" s="6">
        <f>IFERROR(__xludf.DUMMYFUNCTION("""COMPUTED_VALUE"""),0.0)</f>
        <v>0</v>
      </c>
      <c r="M235" s="6" t="str">
        <f>IFERROR(__xludf.DUMMYFUNCTION("""COMPUTED_VALUE"""),"2023-07")</f>
        <v>2023-07</v>
      </c>
    </row>
    <row r="236">
      <c r="A236" s="6" t="str">
        <f>IFERROR(__xludf.DUMMYFUNCTION("""COMPUTED_VALUE"""),"e1a8fc40-fa2b-4c87-beb8-c8396e16208a")</f>
        <v>e1a8fc40-fa2b-4c87-beb8-c8396e16208a</v>
      </c>
      <c r="B236" s="6" t="str">
        <f>IFERROR(__xludf.DUMMYFUNCTION("""COMPUTED_VALUE"""),"65da896d-4aec-423c-abca-4823d9600817")</f>
        <v>65da896d-4aec-423c-abca-4823d9600817</v>
      </c>
      <c r="C236" s="7">
        <f>IFERROR(__xludf.DUMMYFUNCTION("""COMPUTED_VALUE"""),45108.0)</f>
        <v>45108</v>
      </c>
      <c r="D236" s="8">
        <f>IFERROR(__xludf.DUMMYFUNCTION("""COMPUTED_VALUE"""),2.5660913E7)</f>
        <v>25660913</v>
      </c>
      <c r="E236" s="6" t="str">
        <f>IFERROR(__xludf.DUMMYFUNCTION("""COMPUTED_VALUE"""),"SERIES")</f>
        <v>SERIES</v>
      </c>
      <c r="F236" s="6" t="str">
        <f>IFERROR(__xludf.DUMMYFUNCTION("""COMPUTED_VALUE"""),"Comedy")</f>
        <v>Comedy</v>
      </c>
      <c r="G236" s="6">
        <f>IFERROR(__xludf.DUMMYFUNCTION("""COMPUTED_VALUE"""),139.0)</f>
        <v>139</v>
      </c>
      <c r="H236" s="6">
        <f>IFERROR(__xludf.DUMMYFUNCTION("""COMPUTED_VALUE"""),1.0)</f>
        <v>1</v>
      </c>
      <c r="I236" s="6" t="str">
        <f>IFERROR(__xludf.DUMMYFUNCTION("""COMPUTED_VALUE"""),"Tablet")</f>
        <v>Tablet</v>
      </c>
      <c r="J236" s="6" t="str">
        <f>IFERROR(__xludf.DUMMYFUNCTION("""COMPUTED_VALUE"""),"Uk")</f>
        <v>Uk</v>
      </c>
      <c r="K236" s="6" t="str">
        <f>IFERROR(__xludf.DUMMYFUNCTION("""COMPUTED_VALUE"""),"Standard")</f>
        <v>Standard</v>
      </c>
      <c r="L236" s="6">
        <f>IFERROR(__xludf.DUMMYFUNCTION("""COMPUTED_VALUE"""),0.0)</f>
        <v>0</v>
      </c>
      <c r="M236" s="6" t="str">
        <f>IFERROR(__xludf.DUMMYFUNCTION("""COMPUTED_VALUE"""),"2023-07")</f>
        <v>2023-07</v>
      </c>
    </row>
    <row r="237">
      <c r="A237" s="6" t="str">
        <f>IFERROR(__xludf.DUMMYFUNCTION("""COMPUTED_VALUE"""),"10d44b3d-8aca-4410-9c10-126197762b3a")</f>
        <v>10d44b3d-8aca-4410-9c10-126197762b3a</v>
      </c>
      <c r="B237" s="6" t="str">
        <f>IFERROR(__xludf.DUMMYFUNCTION("""COMPUTED_VALUE"""),"67361c0d-b406-445c-ac11-ec609448d0c6")</f>
        <v>67361c0d-b406-445c-ac11-ec609448d0c6</v>
      </c>
      <c r="C237" s="7">
        <f>IFERROR(__xludf.DUMMYFUNCTION("""COMPUTED_VALUE"""),45233.0)</f>
        <v>45233</v>
      </c>
      <c r="D237" s="8">
        <f>IFERROR(__xludf.DUMMYFUNCTION("""COMPUTED_VALUE"""),9.7354734E7)</f>
        <v>97354734</v>
      </c>
      <c r="E237" s="6" t="str">
        <f>IFERROR(__xludf.DUMMYFUNCTION("""COMPUTED_VALUE"""),"DOCUMENTARY")</f>
        <v>DOCUMENTARY</v>
      </c>
      <c r="F237" s="6" t="str">
        <f>IFERROR(__xludf.DUMMYFUNCTION("""COMPUTED_VALUE"""),"Thriller")</f>
        <v>Thriller</v>
      </c>
      <c r="G237" s="6">
        <f>IFERROR(__xludf.DUMMYFUNCTION("""COMPUTED_VALUE"""),90.0)</f>
        <v>90</v>
      </c>
      <c r="H237" s="6">
        <f>IFERROR(__xludf.DUMMYFUNCTION("""COMPUTED_VALUE"""),1.0)</f>
        <v>1</v>
      </c>
      <c r="I237" s="6" t="str">
        <f>IFERROR(__xludf.DUMMYFUNCTION("""COMPUTED_VALUE"""),"Desktop")</f>
        <v>Desktop</v>
      </c>
      <c r="J237" s="6" t="str">
        <f>IFERROR(__xludf.DUMMYFUNCTION("""COMPUTED_VALUE"""),"Uk")</f>
        <v>Uk</v>
      </c>
      <c r="K237" s="6" t="str">
        <f>IFERROR(__xludf.DUMMYFUNCTION("""COMPUTED_VALUE"""),"Standard")</f>
        <v>Standard</v>
      </c>
      <c r="L237" s="6">
        <f>IFERROR(__xludf.DUMMYFUNCTION("""COMPUTED_VALUE"""),0.0)</f>
        <v>0</v>
      </c>
      <c r="M237" s="6" t="str">
        <f>IFERROR(__xludf.DUMMYFUNCTION("""COMPUTED_VALUE"""),"2023-11")</f>
        <v>2023-11</v>
      </c>
    </row>
    <row r="238">
      <c r="A238" s="6" t="str">
        <f>IFERROR(__xludf.DUMMYFUNCTION("""COMPUTED_VALUE"""),"ec3672c8-ad3f-40b6-9e8a-6d761910f49d")</f>
        <v>ec3672c8-ad3f-40b6-9e8a-6d761910f49d</v>
      </c>
      <c r="B238" s="6" t="str">
        <f>IFERROR(__xludf.DUMMYFUNCTION("""COMPUTED_VALUE"""),"6766916e-d20b-43f1-9d43-704c8e1a6be9")</f>
        <v>6766916e-d20b-43f1-9d43-704c8e1a6be9</v>
      </c>
      <c r="C238" s="7">
        <f>IFERROR(__xludf.DUMMYFUNCTION("""COMPUTED_VALUE"""),45218.0)</f>
        <v>45218</v>
      </c>
      <c r="D238" s="8">
        <f>IFERROR(__xludf.DUMMYFUNCTION("""COMPUTED_VALUE"""),7.9070393E7)</f>
        <v>79070393</v>
      </c>
      <c r="E238" s="6" t="str">
        <f>IFERROR(__xludf.DUMMYFUNCTION("""COMPUTED_VALUE"""),"MOVIE")</f>
        <v>MOVIE</v>
      </c>
      <c r="F238" s="6" t="str">
        <f>IFERROR(__xludf.DUMMYFUNCTION("""COMPUTED_VALUE"""),"Drama")</f>
        <v>Drama</v>
      </c>
      <c r="G238" s="6">
        <f>IFERROR(__xludf.DUMMYFUNCTION("""COMPUTED_VALUE"""),42.0)</f>
        <v>42</v>
      </c>
      <c r="H238" s="6">
        <f>IFERROR(__xludf.DUMMYFUNCTION("""COMPUTED_VALUE"""),1.0)</f>
        <v>1</v>
      </c>
      <c r="I238" s="6" t="str">
        <f>IFERROR(__xludf.DUMMYFUNCTION("""COMPUTED_VALUE"""),"Tablet")</f>
        <v>Tablet</v>
      </c>
      <c r="J238" s="6" t="str">
        <f>IFERROR(__xludf.DUMMYFUNCTION("""COMPUTED_VALUE"""),"Germany")</f>
        <v>Germany</v>
      </c>
      <c r="K238" s="6" t="str">
        <f>IFERROR(__xludf.DUMMYFUNCTION("""COMPUTED_VALUE"""),"Standard")</f>
        <v>Standard</v>
      </c>
      <c r="L238" s="6">
        <f>IFERROR(__xludf.DUMMYFUNCTION("""COMPUTED_VALUE"""),0.0)</f>
        <v>0</v>
      </c>
      <c r="M238" s="6" t="str">
        <f>IFERROR(__xludf.DUMMYFUNCTION("""COMPUTED_VALUE"""),"2023-10")</f>
        <v>2023-10</v>
      </c>
    </row>
    <row r="239">
      <c r="A239" s="6" t="str">
        <f>IFERROR(__xludf.DUMMYFUNCTION("""COMPUTED_VALUE"""),"650eb3fd-6ac4-4fcb-b826-db7e041d3dee")</f>
        <v>650eb3fd-6ac4-4fcb-b826-db7e041d3dee</v>
      </c>
      <c r="B239" s="6" t="str">
        <f>IFERROR(__xludf.DUMMYFUNCTION("""COMPUTED_VALUE"""),"67c23431-fec6-4869-a4fe-fb2c17d7d292")</f>
        <v>67c23431-fec6-4869-a4fe-fb2c17d7d292</v>
      </c>
      <c r="C239" s="7">
        <f>IFERROR(__xludf.DUMMYFUNCTION("""COMPUTED_VALUE"""),45200.0)</f>
        <v>45200</v>
      </c>
      <c r="D239" s="8">
        <f>IFERROR(__xludf.DUMMYFUNCTION("""COMPUTED_VALUE"""),9.8471751E7)</f>
        <v>98471751</v>
      </c>
      <c r="E239" s="6" t="str">
        <f>IFERROR(__xludf.DUMMYFUNCTION("""COMPUTED_VALUE"""),"DOCUMENTARY")</f>
        <v>DOCUMENTARY</v>
      </c>
      <c r="F239" s="6" t="str">
        <f>IFERROR(__xludf.DUMMYFUNCTION("""COMPUTED_VALUE"""),"Comedy")</f>
        <v>Comedy</v>
      </c>
      <c r="G239" s="6">
        <f>IFERROR(__xludf.DUMMYFUNCTION("""COMPUTED_VALUE"""),113.0)</f>
        <v>113</v>
      </c>
      <c r="H239" s="6">
        <f>IFERROR(__xludf.DUMMYFUNCTION("""COMPUTED_VALUE"""),0.0)</f>
        <v>0</v>
      </c>
      <c r="I239" s="6" t="str">
        <f>IFERROR(__xludf.DUMMYFUNCTION("""COMPUTED_VALUE"""),"Smart Tv")</f>
        <v>Smart Tv</v>
      </c>
      <c r="J239" s="6" t="str">
        <f>IFERROR(__xludf.DUMMYFUNCTION("""COMPUTED_VALUE"""),"India")</f>
        <v>India</v>
      </c>
      <c r="K239" s="6" t="str">
        <f>IFERROR(__xludf.DUMMYFUNCTION("""COMPUTED_VALUE"""),"Standard")</f>
        <v>Standard</v>
      </c>
      <c r="L239" s="6">
        <f>IFERROR(__xludf.DUMMYFUNCTION("""COMPUTED_VALUE"""),0.0)</f>
        <v>0</v>
      </c>
      <c r="M239" s="6" t="str">
        <f>IFERROR(__xludf.DUMMYFUNCTION("""COMPUTED_VALUE"""),"2023-10")</f>
        <v>2023-10</v>
      </c>
    </row>
    <row r="240">
      <c r="A240" s="6" t="str">
        <f>IFERROR(__xludf.DUMMYFUNCTION("""COMPUTED_VALUE"""),"47ac0175-db4a-4f79-a6c1-e02d2380282e")</f>
        <v>47ac0175-db4a-4f79-a6c1-e02d2380282e</v>
      </c>
      <c r="B240" s="6" t="str">
        <f>IFERROR(__xludf.DUMMYFUNCTION("""COMPUTED_VALUE"""),"6803e40c-2755-4ce7-b85c-d36c515e52fe")</f>
        <v>6803e40c-2755-4ce7-b85c-d36c515e52fe</v>
      </c>
      <c r="C240" s="7">
        <f>IFERROR(__xludf.DUMMYFUNCTION("""COMPUTED_VALUE"""),45072.0)</f>
        <v>45072</v>
      </c>
      <c r="D240" s="8">
        <f>IFERROR(__xludf.DUMMYFUNCTION("""COMPUTED_VALUE"""),8.1449491E7)</f>
        <v>81449491</v>
      </c>
      <c r="E240" s="6" t="str">
        <f>IFERROR(__xludf.DUMMYFUNCTION("""COMPUTED_VALUE"""),"MOVIE")</f>
        <v>MOVIE</v>
      </c>
      <c r="F240" s="6" t="str">
        <f>IFERROR(__xludf.DUMMYFUNCTION("""COMPUTED_VALUE"""),"Drama")</f>
        <v>Drama</v>
      </c>
      <c r="G240" s="6">
        <f>IFERROR(__xludf.DUMMYFUNCTION("""COMPUTED_VALUE"""),21.0)</f>
        <v>21</v>
      </c>
      <c r="H240" s="6">
        <f>IFERROR(__xludf.DUMMYFUNCTION("""COMPUTED_VALUE"""),1.0)</f>
        <v>1</v>
      </c>
      <c r="I240" s="6" t="str">
        <f>IFERROR(__xludf.DUMMYFUNCTION("""COMPUTED_VALUE"""),"Desktop")</f>
        <v>Desktop</v>
      </c>
      <c r="J240" s="6" t="str">
        <f>IFERROR(__xludf.DUMMYFUNCTION("""COMPUTED_VALUE"""),"Uk")</f>
        <v>Uk</v>
      </c>
      <c r="K240" s="6" t="str">
        <f>IFERROR(__xludf.DUMMYFUNCTION("""COMPUTED_VALUE"""),"Basic")</f>
        <v>Basic</v>
      </c>
      <c r="L240" s="6">
        <f>IFERROR(__xludf.DUMMYFUNCTION("""COMPUTED_VALUE"""),0.0)</f>
        <v>0</v>
      </c>
      <c r="M240" s="6" t="str">
        <f>IFERROR(__xludf.DUMMYFUNCTION("""COMPUTED_VALUE"""),"2023-05")</f>
        <v>2023-05</v>
      </c>
    </row>
    <row r="241">
      <c r="A241" s="6" t="str">
        <f>IFERROR(__xludf.DUMMYFUNCTION("""COMPUTED_VALUE"""),"2ae3d68a-6ce1-4840-bcaf-0f71877cac55")</f>
        <v>2ae3d68a-6ce1-4840-bcaf-0f71877cac55</v>
      </c>
      <c r="B241" s="6" t="str">
        <f>IFERROR(__xludf.DUMMYFUNCTION("""COMPUTED_VALUE"""),"68ffacdf-e576-4df6-a8f0-98820d735f70")</f>
        <v>68ffacdf-e576-4df6-a8f0-98820d735f70</v>
      </c>
      <c r="C241" s="7">
        <f>IFERROR(__xludf.DUMMYFUNCTION("""COMPUTED_VALUE"""),45113.0)</f>
        <v>45113</v>
      </c>
      <c r="D241" s="8">
        <f>IFERROR(__xludf.DUMMYFUNCTION("""COMPUTED_VALUE"""),6.7347872E7)</f>
        <v>67347872</v>
      </c>
      <c r="E241" s="6" t="str">
        <f>IFERROR(__xludf.DUMMYFUNCTION("""COMPUTED_VALUE"""),"DOCUMENTARY")</f>
        <v>DOCUMENTARY</v>
      </c>
      <c r="F241" s="6" t="str">
        <f>IFERROR(__xludf.DUMMYFUNCTION("""COMPUTED_VALUE"""),"Thriller")</f>
        <v>Thriller</v>
      </c>
      <c r="G241" s="6">
        <f>IFERROR(__xludf.DUMMYFUNCTION("""COMPUTED_VALUE"""),124.0)</f>
        <v>124</v>
      </c>
      <c r="H241" s="6">
        <f>IFERROR(__xludf.DUMMYFUNCTION("""COMPUTED_VALUE"""),1.0)</f>
        <v>1</v>
      </c>
      <c r="I241" s="6" t="str">
        <f>IFERROR(__xludf.DUMMYFUNCTION("""COMPUTED_VALUE"""),"Desktop")</f>
        <v>Desktop</v>
      </c>
      <c r="J241" s="6" t="str">
        <f>IFERROR(__xludf.DUMMYFUNCTION("""COMPUTED_VALUE"""),"Uk")</f>
        <v>Uk</v>
      </c>
      <c r="K241" s="6" t="str">
        <f>IFERROR(__xludf.DUMMYFUNCTION("""COMPUTED_VALUE"""),"Basic")</f>
        <v>Basic</v>
      </c>
      <c r="L241" s="6">
        <f>IFERROR(__xludf.DUMMYFUNCTION("""COMPUTED_VALUE"""),0.0)</f>
        <v>0</v>
      </c>
      <c r="M241" s="6" t="str">
        <f>IFERROR(__xludf.DUMMYFUNCTION("""COMPUTED_VALUE"""),"2023-07")</f>
        <v>2023-07</v>
      </c>
    </row>
    <row r="242">
      <c r="A242" s="6" t="str">
        <f>IFERROR(__xludf.DUMMYFUNCTION("""COMPUTED_VALUE"""),"fb3762f7-9e74-4de9-822a-28414de33282")</f>
        <v>fb3762f7-9e74-4de9-822a-28414de33282</v>
      </c>
      <c r="B242" s="6" t="str">
        <f>IFERROR(__xludf.DUMMYFUNCTION("""COMPUTED_VALUE"""),"6931812d-3a30-4049-8042-d7400c34a39f")</f>
        <v>6931812d-3a30-4049-8042-d7400c34a39f</v>
      </c>
      <c r="C242" s="7">
        <f>IFERROR(__xludf.DUMMYFUNCTION("""COMPUTED_VALUE"""),45056.0)</f>
        <v>45056</v>
      </c>
      <c r="D242" s="8">
        <f>IFERROR(__xludf.DUMMYFUNCTION("""COMPUTED_VALUE"""),1.7185936E7)</f>
        <v>17185936</v>
      </c>
      <c r="E242" s="6" t="str">
        <f>IFERROR(__xludf.DUMMYFUNCTION("""COMPUTED_VALUE"""),"MOVIE")</f>
        <v>MOVIE</v>
      </c>
      <c r="F242" s="6" t="str">
        <f>IFERROR(__xludf.DUMMYFUNCTION("""COMPUTED_VALUE"""),"Sci-Fi")</f>
        <v>Sci-Fi</v>
      </c>
      <c r="G242" s="6">
        <f>IFERROR(__xludf.DUMMYFUNCTION("""COMPUTED_VALUE"""),87.0)</f>
        <v>87</v>
      </c>
      <c r="H242" s="6">
        <f>IFERROR(__xludf.DUMMYFUNCTION("""COMPUTED_VALUE"""),1.0)</f>
        <v>1</v>
      </c>
      <c r="I242" s="6" t="str">
        <f>IFERROR(__xludf.DUMMYFUNCTION("""COMPUTED_VALUE"""),"Tablet")</f>
        <v>Tablet</v>
      </c>
      <c r="J242" s="6" t="str">
        <f>IFERROR(__xludf.DUMMYFUNCTION("""COMPUTED_VALUE"""),"Usa")</f>
        <v>Usa</v>
      </c>
      <c r="K242" s="6" t="str">
        <f>IFERROR(__xludf.DUMMYFUNCTION("""COMPUTED_VALUE"""),"Standard")</f>
        <v>Standard</v>
      </c>
      <c r="L242" s="6">
        <f>IFERROR(__xludf.DUMMYFUNCTION("""COMPUTED_VALUE"""),0.0)</f>
        <v>0</v>
      </c>
      <c r="M242" s="6" t="str">
        <f>IFERROR(__xludf.DUMMYFUNCTION("""COMPUTED_VALUE"""),"2023-05")</f>
        <v>2023-05</v>
      </c>
    </row>
    <row r="243">
      <c r="A243" s="6" t="str">
        <f>IFERROR(__xludf.DUMMYFUNCTION("""COMPUTED_VALUE"""),"c2e286fe-d887-485b-a9e6-2df3d30f8add")</f>
        <v>c2e286fe-d887-485b-a9e6-2df3d30f8add</v>
      </c>
      <c r="B243" s="6" t="str">
        <f>IFERROR(__xludf.DUMMYFUNCTION("""COMPUTED_VALUE"""),"6b26807d-506e-4048-b0a7-28e1f33c5682")</f>
        <v>6b26807d-506e-4048-b0a7-28e1f33c5682</v>
      </c>
      <c r="C243" s="7">
        <f>IFERROR(__xludf.DUMMYFUNCTION("""COMPUTED_VALUE"""),45068.0)</f>
        <v>45068</v>
      </c>
      <c r="D243" s="8">
        <f>IFERROR(__xludf.DUMMYFUNCTION("""COMPUTED_VALUE"""),5.5489935E7)</f>
        <v>55489935</v>
      </c>
      <c r="E243" s="6" t="str">
        <f>IFERROR(__xludf.DUMMYFUNCTION("""COMPUTED_VALUE"""),"SERIES")</f>
        <v>SERIES</v>
      </c>
      <c r="F243" s="6" t="str">
        <f>IFERROR(__xludf.DUMMYFUNCTION("""COMPUTED_VALUE"""),"Sci-Fi")</f>
        <v>Sci-Fi</v>
      </c>
      <c r="G243" s="6">
        <f>IFERROR(__xludf.DUMMYFUNCTION("""COMPUTED_VALUE"""),116.0)</f>
        <v>116</v>
      </c>
      <c r="H243" s="6">
        <f>IFERROR(__xludf.DUMMYFUNCTION("""COMPUTED_VALUE"""),1.0)</f>
        <v>1</v>
      </c>
      <c r="I243" s="6" t="str">
        <f>IFERROR(__xludf.DUMMYFUNCTION("""COMPUTED_VALUE"""),"Tablet")</f>
        <v>Tablet</v>
      </c>
      <c r="J243" s="6" t="str">
        <f>IFERROR(__xludf.DUMMYFUNCTION("""COMPUTED_VALUE"""),"Usa")</f>
        <v>Usa</v>
      </c>
      <c r="K243" s="6" t="str">
        <f>IFERROR(__xludf.DUMMYFUNCTION("""COMPUTED_VALUE"""),"Premium")</f>
        <v>Premium</v>
      </c>
      <c r="L243" s="6">
        <f>IFERROR(__xludf.DUMMYFUNCTION("""COMPUTED_VALUE"""),0.0)</f>
        <v>0</v>
      </c>
      <c r="M243" s="6" t="str">
        <f>IFERROR(__xludf.DUMMYFUNCTION("""COMPUTED_VALUE"""),"2023-05")</f>
        <v>2023-05</v>
      </c>
    </row>
    <row r="244">
      <c r="A244" s="6" t="str">
        <f>IFERROR(__xludf.DUMMYFUNCTION("""COMPUTED_VALUE"""),"f4b01218-9c6c-4049-9ad8-ff4f5ff8eb57")</f>
        <v>f4b01218-9c6c-4049-9ad8-ff4f5ff8eb57</v>
      </c>
      <c r="B244" s="6" t="str">
        <f>IFERROR(__xludf.DUMMYFUNCTION("""COMPUTED_VALUE"""),"6b52f058-3a7f-41b3-8140-a718b50a2a65")</f>
        <v>6b52f058-3a7f-41b3-8140-a718b50a2a65</v>
      </c>
      <c r="C244" s="7">
        <f>IFERROR(__xludf.DUMMYFUNCTION("""COMPUTED_VALUE"""),45072.0)</f>
        <v>45072</v>
      </c>
      <c r="D244" s="8">
        <f>IFERROR(__xludf.DUMMYFUNCTION("""COMPUTED_VALUE"""),2.0549848E7)</f>
        <v>20549848</v>
      </c>
      <c r="E244" s="6" t="str">
        <f>IFERROR(__xludf.DUMMYFUNCTION("""COMPUTED_VALUE"""),"DOCUMENTARY")</f>
        <v>DOCUMENTARY</v>
      </c>
      <c r="F244" s="6" t="str">
        <f>IFERROR(__xludf.DUMMYFUNCTION("""COMPUTED_VALUE"""),"Thriller")</f>
        <v>Thriller</v>
      </c>
      <c r="G244" s="6">
        <f>IFERROR(__xludf.DUMMYFUNCTION("""COMPUTED_VALUE"""),72.0)</f>
        <v>72</v>
      </c>
      <c r="H244" s="6">
        <f>IFERROR(__xludf.DUMMYFUNCTION("""COMPUTED_VALUE"""),1.0)</f>
        <v>1</v>
      </c>
      <c r="I244" s="6" t="str">
        <f>IFERROR(__xludf.DUMMYFUNCTION("""COMPUTED_VALUE"""),"Desktop")</f>
        <v>Desktop</v>
      </c>
      <c r="J244" s="6" t="str">
        <f>IFERROR(__xludf.DUMMYFUNCTION("""COMPUTED_VALUE"""),"Usa")</f>
        <v>Usa</v>
      </c>
      <c r="K244" s="6" t="str">
        <f>IFERROR(__xludf.DUMMYFUNCTION("""COMPUTED_VALUE"""),"Premium")</f>
        <v>Premium</v>
      </c>
      <c r="L244" s="6">
        <f>IFERROR(__xludf.DUMMYFUNCTION("""COMPUTED_VALUE"""),0.0)</f>
        <v>0</v>
      </c>
      <c r="M244" s="6" t="str">
        <f>IFERROR(__xludf.DUMMYFUNCTION("""COMPUTED_VALUE"""),"2023-05")</f>
        <v>2023-05</v>
      </c>
    </row>
    <row r="245">
      <c r="A245" s="6" t="str">
        <f>IFERROR(__xludf.DUMMYFUNCTION("""COMPUTED_VALUE"""),"48bb1b21-a9df-4569-b0f2-c3c5a9df3519")</f>
        <v>48bb1b21-a9df-4569-b0f2-c3c5a9df3519</v>
      </c>
      <c r="B245" s="6" t="str">
        <f>IFERROR(__xludf.DUMMYFUNCTION("""COMPUTED_VALUE"""),"6bab109e-8ca0-4a1d-9a71-5d33b1488c52")</f>
        <v>6bab109e-8ca0-4a1d-9a71-5d33b1488c52</v>
      </c>
      <c r="C245" s="7">
        <f>IFERROR(__xludf.DUMMYFUNCTION("""COMPUTED_VALUE"""),44979.0)</f>
        <v>44979</v>
      </c>
      <c r="D245" s="8">
        <f>IFERROR(__xludf.DUMMYFUNCTION("""COMPUTED_VALUE"""),3.1498074E7)</f>
        <v>31498074</v>
      </c>
      <c r="E245" s="6" t="str">
        <f>IFERROR(__xludf.DUMMYFUNCTION("""COMPUTED_VALUE"""),"SERIES")</f>
        <v>SERIES</v>
      </c>
      <c r="F245" s="6" t="str">
        <f>IFERROR(__xludf.DUMMYFUNCTION("""COMPUTED_VALUE"""),"Sci-Fi")</f>
        <v>Sci-Fi</v>
      </c>
      <c r="G245" s="6">
        <f>IFERROR(__xludf.DUMMYFUNCTION("""COMPUTED_VALUE"""),29.0)</f>
        <v>29</v>
      </c>
      <c r="H245" s="6">
        <f>IFERROR(__xludf.DUMMYFUNCTION("""COMPUTED_VALUE"""),1.0)</f>
        <v>1</v>
      </c>
      <c r="I245" s="6" t="str">
        <f>IFERROR(__xludf.DUMMYFUNCTION("""COMPUTED_VALUE"""),"Desktop")</f>
        <v>Desktop</v>
      </c>
      <c r="J245" s="6" t="str">
        <f>IFERROR(__xludf.DUMMYFUNCTION("""COMPUTED_VALUE"""),"India")</f>
        <v>India</v>
      </c>
      <c r="K245" s="6" t="str">
        <f>IFERROR(__xludf.DUMMYFUNCTION("""COMPUTED_VALUE"""),"Premium")</f>
        <v>Premium</v>
      </c>
      <c r="L245" s="6">
        <f>IFERROR(__xludf.DUMMYFUNCTION("""COMPUTED_VALUE"""),0.0)</f>
        <v>0</v>
      </c>
      <c r="M245" s="6" t="str">
        <f>IFERROR(__xludf.DUMMYFUNCTION("""COMPUTED_VALUE"""),"2023-02")</f>
        <v>2023-02</v>
      </c>
    </row>
    <row r="246">
      <c r="A246" s="6" t="str">
        <f>IFERROR(__xludf.DUMMYFUNCTION("""COMPUTED_VALUE"""),"6787d94c-6a2f-445d-a6e8-1df4f45d02db")</f>
        <v>6787d94c-6a2f-445d-a6e8-1df4f45d02db</v>
      </c>
      <c r="B246" s="6" t="str">
        <f>IFERROR(__xludf.DUMMYFUNCTION("""COMPUTED_VALUE"""),"6c23fcf8-1061-41f6-9d9c-857e88b0387e")</f>
        <v>6c23fcf8-1061-41f6-9d9c-857e88b0387e</v>
      </c>
      <c r="C246" s="7">
        <f>IFERROR(__xludf.DUMMYFUNCTION("""COMPUTED_VALUE"""),44988.0)</f>
        <v>44988</v>
      </c>
      <c r="D246" s="8">
        <f>IFERROR(__xludf.DUMMYFUNCTION("""COMPUTED_VALUE"""),9.9992828E7)</f>
        <v>99992828</v>
      </c>
      <c r="E246" s="6" t="str">
        <f>IFERROR(__xludf.DUMMYFUNCTION("""COMPUTED_VALUE"""),"MOVIE")</f>
        <v>MOVIE</v>
      </c>
      <c r="F246" s="6" t="str">
        <f>IFERROR(__xludf.DUMMYFUNCTION("""COMPUTED_VALUE"""),"Sci-Fi")</f>
        <v>Sci-Fi</v>
      </c>
      <c r="G246" s="6">
        <f>IFERROR(__xludf.DUMMYFUNCTION("""COMPUTED_VALUE"""),169.0)</f>
        <v>169</v>
      </c>
      <c r="H246" s="6">
        <f>IFERROR(__xludf.DUMMYFUNCTION("""COMPUTED_VALUE"""),1.0)</f>
        <v>1</v>
      </c>
      <c r="I246" s="6" t="str">
        <f>IFERROR(__xludf.DUMMYFUNCTION("""COMPUTED_VALUE"""),"Mobile")</f>
        <v>Mobile</v>
      </c>
      <c r="J246" s="6" t="str">
        <f>IFERROR(__xludf.DUMMYFUNCTION("""COMPUTED_VALUE"""),"Usa")</f>
        <v>Usa</v>
      </c>
      <c r="K246" s="6" t="str">
        <f>IFERROR(__xludf.DUMMYFUNCTION("""COMPUTED_VALUE"""),"Premium")</f>
        <v>Premium</v>
      </c>
      <c r="L246" s="6">
        <f>IFERROR(__xludf.DUMMYFUNCTION("""COMPUTED_VALUE"""),0.0)</f>
        <v>0</v>
      </c>
      <c r="M246" s="6" t="str">
        <f>IFERROR(__xludf.DUMMYFUNCTION("""COMPUTED_VALUE"""),"2023-03")</f>
        <v>2023-03</v>
      </c>
    </row>
    <row r="247">
      <c r="A247" s="6" t="str">
        <f>IFERROR(__xludf.DUMMYFUNCTION("""COMPUTED_VALUE"""),"92791bf8-4a90-47ca-a7a1-c22584e88209")</f>
        <v>92791bf8-4a90-47ca-a7a1-c22584e88209</v>
      </c>
      <c r="B247" s="6" t="str">
        <f>IFERROR(__xludf.DUMMYFUNCTION("""COMPUTED_VALUE"""),"6ca36771-c7ef-48e7-a8ad-43add32ebc54")</f>
        <v>6ca36771-c7ef-48e7-a8ad-43add32ebc54</v>
      </c>
      <c r="C247" s="7">
        <f>IFERROR(__xludf.DUMMYFUNCTION("""COMPUTED_VALUE"""),45028.0)</f>
        <v>45028</v>
      </c>
      <c r="D247" s="8">
        <f>IFERROR(__xludf.DUMMYFUNCTION("""COMPUTED_VALUE"""),8046031.0)</f>
        <v>8046031</v>
      </c>
      <c r="E247" s="6" t="str">
        <f>IFERROR(__xludf.DUMMYFUNCTION("""COMPUTED_VALUE"""),"MOVIE")</f>
        <v>MOVIE</v>
      </c>
      <c r="F247" s="6" t="str">
        <f>IFERROR(__xludf.DUMMYFUNCTION("""COMPUTED_VALUE"""),"Thriller")</f>
        <v>Thriller</v>
      </c>
      <c r="G247" s="6">
        <f>IFERROR(__xludf.DUMMYFUNCTION("""COMPUTED_VALUE"""),47.0)</f>
        <v>47</v>
      </c>
      <c r="H247" s="6">
        <f>IFERROR(__xludf.DUMMYFUNCTION("""COMPUTED_VALUE"""),1.0)</f>
        <v>1</v>
      </c>
      <c r="I247" s="6" t="str">
        <f>IFERROR(__xludf.DUMMYFUNCTION("""COMPUTED_VALUE"""),"Tablet")</f>
        <v>Tablet</v>
      </c>
      <c r="J247" s="6" t="str">
        <f>IFERROR(__xludf.DUMMYFUNCTION("""COMPUTED_VALUE"""),"India")</f>
        <v>India</v>
      </c>
      <c r="K247" s="6" t="str">
        <f>IFERROR(__xludf.DUMMYFUNCTION("""COMPUTED_VALUE"""),"Standard")</f>
        <v>Standard</v>
      </c>
      <c r="L247" s="6">
        <f>IFERROR(__xludf.DUMMYFUNCTION("""COMPUTED_VALUE"""),0.0)</f>
        <v>0</v>
      </c>
      <c r="M247" s="6" t="str">
        <f>IFERROR(__xludf.DUMMYFUNCTION("""COMPUTED_VALUE"""),"2023-04")</f>
        <v>2023-04</v>
      </c>
    </row>
    <row r="248">
      <c r="A248" s="6" t="str">
        <f>IFERROR(__xludf.DUMMYFUNCTION("""COMPUTED_VALUE"""),"93e068b6-8a74-4e57-8710-e3b872ad02e6")</f>
        <v>93e068b6-8a74-4e57-8710-e3b872ad02e6</v>
      </c>
      <c r="B248" s="6" t="str">
        <f>IFERROR(__xludf.DUMMYFUNCTION("""COMPUTED_VALUE"""),"6ca8169f-5c8d-4f4a-91d7-ad856e2dc604")</f>
        <v>6ca8169f-5c8d-4f4a-91d7-ad856e2dc604</v>
      </c>
      <c r="C248" s="7">
        <f>IFERROR(__xludf.DUMMYFUNCTION("""COMPUTED_VALUE"""),44945.0)</f>
        <v>44945</v>
      </c>
      <c r="D248" s="8">
        <f>IFERROR(__xludf.DUMMYFUNCTION("""COMPUTED_VALUE"""),7.871199E7)</f>
        <v>78711990</v>
      </c>
      <c r="E248" s="6" t="str">
        <f>IFERROR(__xludf.DUMMYFUNCTION("""COMPUTED_VALUE"""),"MOVIE")</f>
        <v>MOVIE</v>
      </c>
      <c r="F248" s="6" t="str">
        <f>IFERROR(__xludf.DUMMYFUNCTION("""COMPUTED_VALUE"""),"Action")</f>
        <v>Action</v>
      </c>
      <c r="G248" s="6">
        <f>IFERROR(__xludf.DUMMYFUNCTION("""COMPUTED_VALUE"""),111.0)</f>
        <v>111</v>
      </c>
      <c r="H248" s="6">
        <f>IFERROR(__xludf.DUMMYFUNCTION("""COMPUTED_VALUE"""),0.0)</f>
        <v>0</v>
      </c>
      <c r="I248" s="6" t="str">
        <f>IFERROR(__xludf.DUMMYFUNCTION("""COMPUTED_VALUE"""),"Desktop")</f>
        <v>Desktop</v>
      </c>
      <c r="J248" s="6" t="str">
        <f>IFERROR(__xludf.DUMMYFUNCTION("""COMPUTED_VALUE"""),"Usa")</f>
        <v>Usa</v>
      </c>
      <c r="K248" s="6" t="str">
        <f>IFERROR(__xludf.DUMMYFUNCTION("""COMPUTED_VALUE"""),"Standard")</f>
        <v>Standard</v>
      </c>
      <c r="L248" s="6">
        <f>IFERROR(__xludf.DUMMYFUNCTION("""COMPUTED_VALUE"""),0.0)</f>
        <v>0</v>
      </c>
      <c r="M248" s="6" t="str">
        <f>IFERROR(__xludf.DUMMYFUNCTION("""COMPUTED_VALUE"""),"2023-01")</f>
        <v>2023-01</v>
      </c>
    </row>
    <row r="249">
      <c r="A249" s="6" t="str">
        <f>IFERROR(__xludf.DUMMYFUNCTION("""COMPUTED_VALUE"""),"83d58e09-266f-4c1e-81bf-5e37846266db")</f>
        <v>83d58e09-266f-4c1e-81bf-5e37846266db</v>
      </c>
      <c r="B249" s="6" t="str">
        <f>IFERROR(__xludf.DUMMYFUNCTION("""COMPUTED_VALUE"""),"6cbbe8a0-c6db-44d6-9c1d-3d38c849b8cd")</f>
        <v>6cbbe8a0-c6db-44d6-9c1d-3d38c849b8cd</v>
      </c>
      <c r="C249" s="7">
        <f>IFERROR(__xludf.DUMMYFUNCTION("""COMPUTED_VALUE"""),45239.0)</f>
        <v>45239</v>
      </c>
      <c r="D249" s="8">
        <f>IFERROR(__xludf.DUMMYFUNCTION("""COMPUTED_VALUE"""),9.3632348E7)</f>
        <v>93632348</v>
      </c>
      <c r="E249" s="6" t="str">
        <f>IFERROR(__xludf.DUMMYFUNCTION("""COMPUTED_VALUE"""),"DOCUMENTARY")</f>
        <v>DOCUMENTARY</v>
      </c>
      <c r="F249" s="6" t="str">
        <f>IFERROR(__xludf.DUMMYFUNCTION("""COMPUTED_VALUE"""),"Comedy")</f>
        <v>Comedy</v>
      </c>
      <c r="G249" s="6">
        <f>IFERROR(__xludf.DUMMYFUNCTION("""COMPUTED_VALUE"""),162.0)</f>
        <v>162</v>
      </c>
      <c r="H249" s="6">
        <f>IFERROR(__xludf.DUMMYFUNCTION("""COMPUTED_VALUE"""),1.0)</f>
        <v>1</v>
      </c>
      <c r="I249" s="6" t="str">
        <f>IFERROR(__xludf.DUMMYFUNCTION("""COMPUTED_VALUE"""),"Tablet")</f>
        <v>Tablet</v>
      </c>
      <c r="J249" s="6" t="str">
        <f>IFERROR(__xludf.DUMMYFUNCTION("""COMPUTED_VALUE"""),"Germany")</f>
        <v>Germany</v>
      </c>
      <c r="K249" s="6" t="str">
        <f>IFERROR(__xludf.DUMMYFUNCTION("""COMPUTED_VALUE"""),"Premium")</f>
        <v>Premium</v>
      </c>
      <c r="L249" s="6">
        <f>IFERROR(__xludf.DUMMYFUNCTION("""COMPUTED_VALUE"""),0.0)</f>
        <v>0</v>
      </c>
      <c r="M249" s="6" t="str">
        <f>IFERROR(__xludf.DUMMYFUNCTION("""COMPUTED_VALUE"""),"2023-11")</f>
        <v>2023-11</v>
      </c>
    </row>
    <row r="250">
      <c r="A250" s="6" t="str">
        <f>IFERROR(__xludf.DUMMYFUNCTION("""COMPUTED_VALUE"""),"562d7286-f9a6-4893-b506-33c0bf925fec")</f>
        <v>562d7286-f9a6-4893-b506-33c0bf925fec</v>
      </c>
      <c r="B250" s="6" t="str">
        <f>IFERROR(__xludf.DUMMYFUNCTION("""COMPUTED_VALUE"""),"6d1eb8b8-36c8-4def-a129-9401bc3d1755")</f>
        <v>6d1eb8b8-36c8-4def-a129-9401bc3d1755</v>
      </c>
      <c r="C250" s="7">
        <f>IFERROR(__xludf.DUMMYFUNCTION("""COMPUTED_VALUE"""),44943.0)</f>
        <v>44943</v>
      </c>
      <c r="D250" s="8">
        <f>IFERROR(__xludf.DUMMYFUNCTION("""COMPUTED_VALUE"""),3.3850573E7)</f>
        <v>33850573</v>
      </c>
      <c r="E250" s="6" t="str">
        <f>IFERROR(__xludf.DUMMYFUNCTION("""COMPUTED_VALUE"""),"SERIES")</f>
        <v>SERIES</v>
      </c>
      <c r="F250" s="6" t="str">
        <f>IFERROR(__xludf.DUMMYFUNCTION("""COMPUTED_VALUE"""),"Action")</f>
        <v>Action</v>
      </c>
      <c r="G250" s="6">
        <f>IFERROR(__xludf.DUMMYFUNCTION("""COMPUTED_VALUE"""),23.0)</f>
        <v>23</v>
      </c>
      <c r="H250" s="6">
        <f>IFERROR(__xludf.DUMMYFUNCTION("""COMPUTED_VALUE"""),1.0)</f>
        <v>1</v>
      </c>
      <c r="I250" s="6" t="str">
        <f>IFERROR(__xludf.DUMMYFUNCTION("""COMPUTED_VALUE"""),"Mobile")</f>
        <v>Mobile</v>
      </c>
      <c r="J250" s="6" t="str">
        <f>IFERROR(__xludf.DUMMYFUNCTION("""COMPUTED_VALUE"""),"Germany")</f>
        <v>Germany</v>
      </c>
      <c r="K250" s="6" t="str">
        <f>IFERROR(__xludf.DUMMYFUNCTION("""COMPUTED_VALUE"""),"Premium")</f>
        <v>Premium</v>
      </c>
      <c r="L250" s="6">
        <f>IFERROR(__xludf.DUMMYFUNCTION("""COMPUTED_VALUE"""),0.0)</f>
        <v>0</v>
      </c>
      <c r="M250" s="6" t="str">
        <f>IFERROR(__xludf.DUMMYFUNCTION("""COMPUTED_VALUE"""),"2023-01")</f>
        <v>2023-01</v>
      </c>
    </row>
    <row r="251">
      <c r="A251" s="6" t="str">
        <f>IFERROR(__xludf.DUMMYFUNCTION("""COMPUTED_VALUE"""),"50ee5b4a-93b7-4659-8cc5-7b45ca6b0cda")</f>
        <v>50ee5b4a-93b7-4659-8cc5-7b45ca6b0cda</v>
      </c>
      <c r="B251" s="6" t="str">
        <f>IFERROR(__xludf.DUMMYFUNCTION("""COMPUTED_VALUE"""),"6d76fa63-4176-4cbe-a1a0-8c70103dc1c3")</f>
        <v>6d76fa63-4176-4cbe-a1a0-8c70103dc1c3</v>
      </c>
      <c r="C251" s="7">
        <f>IFERROR(__xludf.DUMMYFUNCTION("""COMPUTED_VALUE"""),45160.0)</f>
        <v>45160</v>
      </c>
      <c r="D251" s="8">
        <f>IFERROR(__xludf.DUMMYFUNCTION("""COMPUTED_VALUE"""),9.1090737E7)</f>
        <v>91090737</v>
      </c>
      <c r="E251" s="6" t="str">
        <f>IFERROR(__xludf.DUMMYFUNCTION("""COMPUTED_VALUE"""),"SERIES")</f>
        <v>SERIES</v>
      </c>
      <c r="F251" s="6" t="str">
        <f>IFERROR(__xludf.DUMMYFUNCTION("""COMPUTED_VALUE"""),"Action")</f>
        <v>Action</v>
      </c>
      <c r="G251" s="6">
        <f>IFERROR(__xludf.DUMMYFUNCTION("""COMPUTED_VALUE"""),17.0)</f>
        <v>17</v>
      </c>
      <c r="H251" s="6">
        <f>IFERROR(__xludf.DUMMYFUNCTION("""COMPUTED_VALUE"""),1.0)</f>
        <v>1</v>
      </c>
      <c r="I251" s="6" t="str">
        <f>IFERROR(__xludf.DUMMYFUNCTION("""COMPUTED_VALUE"""),"Smart Tv")</f>
        <v>Smart Tv</v>
      </c>
      <c r="J251" s="6" t="str">
        <f>IFERROR(__xludf.DUMMYFUNCTION("""COMPUTED_VALUE"""),"Germany")</f>
        <v>Germany</v>
      </c>
      <c r="K251" s="6" t="str">
        <f>IFERROR(__xludf.DUMMYFUNCTION("""COMPUTED_VALUE"""),"Standard")</f>
        <v>Standard</v>
      </c>
      <c r="L251" s="6">
        <f>IFERROR(__xludf.DUMMYFUNCTION("""COMPUTED_VALUE"""),0.0)</f>
        <v>0</v>
      </c>
      <c r="M251" s="6" t="str">
        <f>IFERROR(__xludf.DUMMYFUNCTION("""COMPUTED_VALUE"""),"2023-08")</f>
        <v>2023-08</v>
      </c>
    </row>
    <row r="252">
      <c r="A252" s="6" t="str">
        <f>IFERROR(__xludf.DUMMYFUNCTION("""COMPUTED_VALUE"""),"c0408a56-b38d-42cd-be08-a22e2ddc1d77")</f>
        <v>c0408a56-b38d-42cd-be08-a22e2ddc1d77</v>
      </c>
      <c r="B252" s="6" t="str">
        <f>IFERROR(__xludf.DUMMYFUNCTION("""COMPUTED_VALUE"""),"6e959ad2-35d2-47b9-9540-aea26b05aeba")</f>
        <v>6e959ad2-35d2-47b9-9540-aea26b05aeba</v>
      </c>
      <c r="C252" s="7">
        <f>IFERROR(__xludf.DUMMYFUNCTION("""COMPUTED_VALUE"""),45286.0)</f>
        <v>45286</v>
      </c>
      <c r="D252" s="8">
        <f>IFERROR(__xludf.DUMMYFUNCTION("""COMPUTED_VALUE"""),8507006.0)</f>
        <v>8507006</v>
      </c>
      <c r="E252" s="6" t="str">
        <f>IFERROR(__xludf.DUMMYFUNCTION("""COMPUTED_VALUE"""),"DOCUMENTARY")</f>
        <v>DOCUMENTARY</v>
      </c>
      <c r="F252" s="6" t="str">
        <f>IFERROR(__xludf.DUMMYFUNCTION("""COMPUTED_VALUE"""),"Sci-Fi")</f>
        <v>Sci-Fi</v>
      </c>
      <c r="G252" s="6">
        <f>IFERROR(__xludf.DUMMYFUNCTION("""COMPUTED_VALUE"""),144.0)</f>
        <v>144</v>
      </c>
      <c r="H252" s="6">
        <f>IFERROR(__xludf.DUMMYFUNCTION("""COMPUTED_VALUE"""),1.0)</f>
        <v>1</v>
      </c>
      <c r="I252" s="6" t="str">
        <f>IFERROR(__xludf.DUMMYFUNCTION("""COMPUTED_VALUE"""),"Smart Tv")</f>
        <v>Smart Tv</v>
      </c>
      <c r="J252" s="6" t="str">
        <f>IFERROR(__xludf.DUMMYFUNCTION("""COMPUTED_VALUE"""),"France")</f>
        <v>France</v>
      </c>
      <c r="K252" s="6" t="str">
        <f>IFERROR(__xludf.DUMMYFUNCTION("""COMPUTED_VALUE"""),"Premium")</f>
        <v>Premium</v>
      </c>
      <c r="L252" s="6">
        <f>IFERROR(__xludf.DUMMYFUNCTION("""COMPUTED_VALUE"""),0.0)</f>
        <v>0</v>
      </c>
      <c r="M252" s="6" t="str">
        <f>IFERROR(__xludf.DUMMYFUNCTION("""COMPUTED_VALUE"""),"2023-12")</f>
        <v>2023-12</v>
      </c>
    </row>
    <row r="253">
      <c r="A253" s="6" t="str">
        <f>IFERROR(__xludf.DUMMYFUNCTION("""COMPUTED_VALUE"""),"deb83dd2-a1de-40c1-95e4-ddc43d71eabb")</f>
        <v>deb83dd2-a1de-40c1-95e4-ddc43d71eabb</v>
      </c>
      <c r="B253" s="6" t="str">
        <f>IFERROR(__xludf.DUMMYFUNCTION("""COMPUTED_VALUE"""),"6f97d21b-8b21-42ba-a240-c38c01e0daaf")</f>
        <v>6f97d21b-8b21-42ba-a240-c38c01e0daaf</v>
      </c>
      <c r="C253" s="7">
        <f>IFERROR(__xludf.DUMMYFUNCTION("""COMPUTED_VALUE"""),44929.0)</f>
        <v>44929</v>
      </c>
      <c r="D253" s="8">
        <f>IFERROR(__xludf.DUMMYFUNCTION("""COMPUTED_VALUE"""),3.1159333E7)</f>
        <v>31159333</v>
      </c>
      <c r="E253" s="6" t="str">
        <f>IFERROR(__xludf.DUMMYFUNCTION("""COMPUTED_VALUE"""),"SERIES")</f>
        <v>SERIES</v>
      </c>
      <c r="F253" s="6" t="str">
        <f>IFERROR(__xludf.DUMMYFUNCTION("""COMPUTED_VALUE"""),"Sci-Fi")</f>
        <v>Sci-Fi</v>
      </c>
      <c r="G253" s="6">
        <f>IFERROR(__xludf.DUMMYFUNCTION("""COMPUTED_VALUE"""),146.0)</f>
        <v>146</v>
      </c>
      <c r="H253" s="6">
        <f>IFERROR(__xludf.DUMMYFUNCTION("""COMPUTED_VALUE"""),1.0)</f>
        <v>1</v>
      </c>
      <c r="I253" s="6" t="str">
        <f>IFERROR(__xludf.DUMMYFUNCTION("""COMPUTED_VALUE"""),"Desktop")</f>
        <v>Desktop</v>
      </c>
      <c r="J253" s="6" t="str">
        <f>IFERROR(__xludf.DUMMYFUNCTION("""COMPUTED_VALUE"""),"Uk")</f>
        <v>Uk</v>
      </c>
      <c r="K253" s="6" t="str">
        <f>IFERROR(__xludf.DUMMYFUNCTION("""COMPUTED_VALUE"""),"Basic")</f>
        <v>Basic</v>
      </c>
      <c r="L253" s="6">
        <f>IFERROR(__xludf.DUMMYFUNCTION("""COMPUTED_VALUE"""),0.0)</f>
        <v>0</v>
      </c>
      <c r="M253" s="6" t="str">
        <f>IFERROR(__xludf.DUMMYFUNCTION("""COMPUTED_VALUE"""),"2023-01")</f>
        <v>2023-01</v>
      </c>
    </row>
    <row r="254">
      <c r="A254" s="6" t="str">
        <f>IFERROR(__xludf.DUMMYFUNCTION("""COMPUTED_VALUE"""),"56952f63-c99e-43c9-abf0-5165e277fe1b")</f>
        <v>56952f63-c99e-43c9-abf0-5165e277fe1b</v>
      </c>
      <c r="B254" s="6" t="str">
        <f>IFERROR(__xludf.DUMMYFUNCTION("""COMPUTED_VALUE"""),"7012a5c4-2a32-4a97-aba2-b4ae0730740a")</f>
        <v>7012a5c4-2a32-4a97-aba2-b4ae0730740a</v>
      </c>
      <c r="C254" s="7">
        <f>IFERROR(__xludf.DUMMYFUNCTION("""COMPUTED_VALUE"""),45156.0)</f>
        <v>45156</v>
      </c>
      <c r="D254" s="8">
        <f>IFERROR(__xludf.DUMMYFUNCTION("""COMPUTED_VALUE"""),2.163567E7)</f>
        <v>21635670</v>
      </c>
      <c r="E254" s="6" t="str">
        <f>IFERROR(__xludf.DUMMYFUNCTION("""COMPUTED_VALUE"""),"SERIES")</f>
        <v>SERIES</v>
      </c>
      <c r="F254" s="6" t="str">
        <f>IFERROR(__xludf.DUMMYFUNCTION("""COMPUTED_VALUE"""),"Comedy")</f>
        <v>Comedy</v>
      </c>
      <c r="G254" s="6">
        <f>IFERROR(__xludf.DUMMYFUNCTION("""COMPUTED_VALUE"""),59.0)</f>
        <v>59</v>
      </c>
      <c r="H254" s="6">
        <f>IFERROR(__xludf.DUMMYFUNCTION("""COMPUTED_VALUE"""),1.0)</f>
        <v>1</v>
      </c>
      <c r="I254" s="6" t="str">
        <f>IFERROR(__xludf.DUMMYFUNCTION("""COMPUTED_VALUE"""),"Tablet")</f>
        <v>Tablet</v>
      </c>
      <c r="J254" s="6" t="str">
        <f>IFERROR(__xludf.DUMMYFUNCTION("""COMPUTED_VALUE"""),"Usa")</f>
        <v>Usa</v>
      </c>
      <c r="K254" s="6" t="str">
        <f>IFERROR(__xludf.DUMMYFUNCTION("""COMPUTED_VALUE"""),"Basic")</f>
        <v>Basic</v>
      </c>
      <c r="L254" s="6">
        <f>IFERROR(__xludf.DUMMYFUNCTION("""COMPUTED_VALUE"""),0.0)</f>
        <v>0</v>
      </c>
      <c r="M254" s="6" t="str">
        <f>IFERROR(__xludf.DUMMYFUNCTION("""COMPUTED_VALUE"""),"2023-08")</f>
        <v>2023-08</v>
      </c>
    </row>
    <row r="255">
      <c r="A255" s="6" t="str">
        <f>IFERROR(__xludf.DUMMYFUNCTION("""COMPUTED_VALUE"""),"178ed5d7-6309-42be-9b13-f39481d1e8f9")</f>
        <v>178ed5d7-6309-42be-9b13-f39481d1e8f9</v>
      </c>
      <c r="B255" s="6" t="str">
        <f>IFERROR(__xludf.DUMMYFUNCTION("""COMPUTED_VALUE"""),"709adad1-35d5-430f-9193-eaf491fd9097")</f>
        <v>709adad1-35d5-430f-9193-eaf491fd9097</v>
      </c>
      <c r="C255" s="7">
        <f>IFERROR(__xludf.DUMMYFUNCTION("""COMPUTED_VALUE"""),45236.0)</f>
        <v>45236</v>
      </c>
      <c r="D255" s="8">
        <f>IFERROR(__xludf.DUMMYFUNCTION("""COMPUTED_VALUE"""),2.2591159E7)</f>
        <v>22591159</v>
      </c>
      <c r="E255" s="6" t="str">
        <f>IFERROR(__xludf.DUMMYFUNCTION("""COMPUTED_VALUE"""),"SERIES")</f>
        <v>SERIES</v>
      </c>
      <c r="F255" s="6" t="str">
        <f>IFERROR(__xludf.DUMMYFUNCTION("""COMPUTED_VALUE"""),"Drama")</f>
        <v>Drama</v>
      </c>
      <c r="G255" s="6">
        <f>IFERROR(__xludf.DUMMYFUNCTION("""COMPUTED_VALUE"""),16.0)</f>
        <v>16</v>
      </c>
      <c r="H255" s="6">
        <f>IFERROR(__xludf.DUMMYFUNCTION("""COMPUTED_VALUE"""),1.0)</f>
        <v>1</v>
      </c>
      <c r="I255" s="6" t="str">
        <f>IFERROR(__xludf.DUMMYFUNCTION("""COMPUTED_VALUE"""),"Mobile")</f>
        <v>Mobile</v>
      </c>
      <c r="J255" s="6" t="str">
        <f>IFERROR(__xludf.DUMMYFUNCTION("""COMPUTED_VALUE"""),"India")</f>
        <v>India</v>
      </c>
      <c r="K255" s="6" t="str">
        <f>IFERROR(__xludf.DUMMYFUNCTION("""COMPUTED_VALUE"""),"Premium")</f>
        <v>Premium</v>
      </c>
      <c r="L255" s="6">
        <f>IFERROR(__xludf.DUMMYFUNCTION("""COMPUTED_VALUE"""),0.0)</f>
        <v>0</v>
      </c>
      <c r="M255" s="6" t="str">
        <f>IFERROR(__xludf.DUMMYFUNCTION("""COMPUTED_VALUE"""),"2023-11")</f>
        <v>2023-11</v>
      </c>
    </row>
    <row r="256">
      <c r="A256" s="6" t="str">
        <f>IFERROR(__xludf.DUMMYFUNCTION("""COMPUTED_VALUE"""),"b4236475-e54a-4d13-b91c-060345f9f24b")</f>
        <v>b4236475-e54a-4d13-b91c-060345f9f24b</v>
      </c>
      <c r="B256" s="6" t="str">
        <f>IFERROR(__xludf.DUMMYFUNCTION("""COMPUTED_VALUE"""),"70bd1e00-a05d-4419-bb8f-413e572ff10a")</f>
        <v>70bd1e00-a05d-4419-bb8f-413e572ff10a</v>
      </c>
      <c r="C256" s="7">
        <f>IFERROR(__xludf.DUMMYFUNCTION("""COMPUTED_VALUE"""),45209.0)</f>
        <v>45209</v>
      </c>
      <c r="D256" s="8">
        <f>IFERROR(__xludf.DUMMYFUNCTION("""COMPUTED_VALUE"""),3.9905864E7)</f>
        <v>39905864</v>
      </c>
      <c r="E256" s="6" t="str">
        <f>IFERROR(__xludf.DUMMYFUNCTION("""COMPUTED_VALUE"""),"DOCUMENTARY")</f>
        <v>DOCUMENTARY</v>
      </c>
      <c r="F256" s="6" t="str">
        <f>IFERROR(__xludf.DUMMYFUNCTION("""COMPUTED_VALUE"""),"Action")</f>
        <v>Action</v>
      </c>
      <c r="G256" s="6">
        <f>IFERROR(__xludf.DUMMYFUNCTION("""COMPUTED_VALUE"""),63.0)</f>
        <v>63</v>
      </c>
      <c r="H256" s="6">
        <f>IFERROR(__xludf.DUMMYFUNCTION("""COMPUTED_VALUE"""),1.0)</f>
        <v>1</v>
      </c>
      <c r="I256" s="6" t="str">
        <f>IFERROR(__xludf.DUMMYFUNCTION("""COMPUTED_VALUE"""),"Smart Tv")</f>
        <v>Smart Tv</v>
      </c>
      <c r="J256" s="6" t="str">
        <f>IFERROR(__xludf.DUMMYFUNCTION("""COMPUTED_VALUE"""),"Usa")</f>
        <v>Usa</v>
      </c>
      <c r="K256" s="6" t="str">
        <f>IFERROR(__xludf.DUMMYFUNCTION("""COMPUTED_VALUE"""),"Basic")</f>
        <v>Basic</v>
      </c>
      <c r="L256" s="6">
        <f>IFERROR(__xludf.DUMMYFUNCTION("""COMPUTED_VALUE"""),0.0)</f>
        <v>0</v>
      </c>
      <c r="M256" s="6" t="str">
        <f>IFERROR(__xludf.DUMMYFUNCTION("""COMPUTED_VALUE"""),"2023-10")</f>
        <v>2023-10</v>
      </c>
    </row>
    <row r="257">
      <c r="A257" s="6" t="str">
        <f>IFERROR(__xludf.DUMMYFUNCTION("""COMPUTED_VALUE"""),"45e1218b-b327-4faf-89a5-b1d097df2b95")</f>
        <v>45e1218b-b327-4faf-89a5-b1d097df2b95</v>
      </c>
      <c r="B257" s="6" t="str">
        <f>IFERROR(__xludf.DUMMYFUNCTION("""COMPUTED_VALUE"""),"722469a6-5908-409a-92bf-ed01d013506a")</f>
        <v>722469a6-5908-409a-92bf-ed01d013506a</v>
      </c>
      <c r="C257" s="7">
        <f>IFERROR(__xludf.DUMMYFUNCTION("""COMPUTED_VALUE"""),45277.0)</f>
        <v>45277</v>
      </c>
      <c r="D257" s="8">
        <f>IFERROR(__xludf.DUMMYFUNCTION("""COMPUTED_VALUE"""),4.2256007E7)</f>
        <v>42256007</v>
      </c>
      <c r="E257" s="6" t="str">
        <f>IFERROR(__xludf.DUMMYFUNCTION("""COMPUTED_VALUE"""),"SERIES")</f>
        <v>SERIES</v>
      </c>
      <c r="F257" s="6" t="str">
        <f>IFERROR(__xludf.DUMMYFUNCTION("""COMPUTED_VALUE"""),"Sci-Fi")</f>
        <v>Sci-Fi</v>
      </c>
      <c r="G257" s="6">
        <f>IFERROR(__xludf.DUMMYFUNCTION("""COMPUTED_VALUE"""),53.0)</f>
        <v>53</v>
      </c>
      <c r="H257" s="6">
        <f>IFERROR(__xludf.DUMMYFUNCTION("""COMPUTED_VALUE"""),1.0)</f>
        <v>1</v>
      </c>
      <c r="I257" s="6" t="str">
        <f>IFERROR(__xludf.DUMMYFUNCTION("""COMPUTED_VALUE"""),"Desktop")</f>
        <v>Desktop</v>
      </c>
      <c r="J257" s="6" t="str">
        <f>IFERROR(__xludf.DUMMYFUNCTION("""COMPUTED_VALUE"""),"Usa")</f>
        <v>Usa</v>
      </c>
      <c r="K257" s="6" t="str">
        <f>IFERROR(__xludf.DUMMYFUNCTION("""COMPUTED_VALUE"""),"Premium")</f>
        <v>Premium</v>
      </c>
      <c r="L257" s="6">
        <f>IFERROR(__xludf.DUMMYFUNCTION("""COMPUTED_VALUE"""),0.0)</f>
        <v>0</v>
      </c>
      <c r="M257" s="6" t="str">
        <f>IFERROR(__xludf.DUMMYFUNCTION("""COMPUTED_VALUE"""),"2023-12")</f>
        <v>2023-12</v>
      </c>
    </row>
    <row r="258">
      <c r="A258" s="6" t="str">
        <f>IFERROR(__xludf.DUMMYFUNCTION("""COMPUTED_VALUE"""),"3e0af3ee-84ef-4608-a237-f217cd91d316")</f>
        <v>3e0af3ee-84ef-4608-a237-f217cd91d316</v>
      </c>
      <c r="B258" s="6" t="str">
        <f>IFERROR(__xludf.DUMMYFUNCTION("""COMPUTED_VALUE"""),"723431c1-e3cc-4cd1-bbf3-3bf3e28c60ab")</f>
        <v>723431c1-e3cc-4cd1-bbf3-3bf3e28c60ab</v>
      </c>
      <c r="C258" s="7">
        <f>IFERROR(__xludf.DUMMYFUNCTION("""COMPUTED_VALUE"""),45074.0)</f>
        <v>45074</v>
      </c>
      <c r="D258" s="8">
        <f>IFERROR(__xludf.DUMMYFUNCTION("""COMPUTED_VALUE"""),5.9856504E7)</f>
        <v>59856504</v>
      </c>
      <c r="E258" s="6" t="str">
        <f>IFERROR(__xludf.DUMMYFUNCTION("""COMPUTED_VALUE"""),"MOVIE")</f>
        <v>MOVIE</v>
      </c>
      <c r="F258" s="6" t="str">
        <f>IFERROR(__xludf.DUMMYFUNCTION("""COMPUTED_VALUE"""),"Comedy")</f>
        <v>Comedy</v>
      </c>
      <c r="G258" s="6">
        <f>IFERROR(__xludf.DUMMYFUNCTION("""COMPUTED_VALUE"""),103.0)</f>
        <v>103</v>
      </c>
      <c r="H258" s="6">
        <f>IFERROR(__xludf.DUMMYFUNCTION("""COMPUTED_VALUE"""),0.0)</f>
        <v>0</v>
      </c>
      <c r="I258" s="6" t="str">
        <f>IFERROR(__xludf.DUMMYFUNCTION("""COMPUTED_VALUE"""),"Tablet")</f>
        <v>Tablet</v>
      </c>
      <c r="J258" s="6" t="str">
        <f>IFERROR(__xludf.DUMMYFUNCTION("""COMPUTED_VALUE"""),"France")</f>
        <v>France</v>
      </c>
      <c r="K258" s="6" t="str">
        <f>IFERROR(__xludf.DUMMYFUNCTION("""COMPUTED_VALUE"""),"Basic")</f>
        <v>Basic</v>
      </c>
      <c r="L258" s="6">
        <f>IFERROR(__xludf.DUMMYFUNCTION("""COMPUTED_VALUE"""),0.0)</f>
        <v>0</v>
      </c>
      <c r="M258" s="6" t="str">
        <f>IFERROR(__xludf.DUMMYFUNCTION("""COMPUTED_VALUE"""),"2023-05")</f>
        <v>2023-05</v>
      </c>
    </row>
    <row r="259">
      <c r="A259" s="6" t="str">
        <f>IFERROR(__xludf.DUMMYFUNCTION("""COMPUTED_VALUE"""),"f847fe4c-f409-4c66-9555-ee5d84b55c83")</f>
        <v>f847fe4c-f409-4c66-9555-ee5d84b55c83</v>
      </c>
      <c r="B259" s="6" t="str">
        <f>IFERROR(__xludf.DUMMYFUNCTION("""COMPUTED_VALUE"""),"7241e4ca-3d07-46a1-8ddc-d25dc4fa262b")</f>
        <v>7241e4ca-3d07-46a1-8ddc-d25dc4fa262b</v>
      </c>
      <c r="C259" s="7">
        <f>IFERROR(__xludf.DUMMYFUNCTION("""COMPUTED_VALUE"""),45124.0)</f>
        <v>45124</v>
      </c>
      <c r="D259" s="8">
        <f>IFERROR(__xludf.DUMMYFUNCTION("""COMPUTED_VALUE"""),8.3524189E7)</f>
        <v>83524189</v>
      </c>
      <c r="E259" s="6" t="str">
        <f>IFERROR(__xludf.DUMMYFUNCTION("""COMPUTED_VALUE"""),"SERIES")</f>
        <v>SERIES</v>
      </c>
      <c r="F259" s="6" t="str">
        <f>IFERROR(__xludf.DUMMYFUNCTION("""COMPUTED_VALUE"""),"Drama")</f>
        <v>Drama</v>
      </c>
      <c r="G259" s="6">
        <f>IFERROR(__xludf.DUMMYFUNCTION("""COMPUTED_VALUE"""),113.0)</f>
        <v>113</v>
      </c>
      <c r="H259" s="6">
        <f>IFERROR(__xludf.DUMMYFUNCTION("""COMPUTED_VALUE"""),1.0)</f>
        <v>1</v>
      </c>
      <c r="I259" s="6" t="str">
        <f>IFERROR(__xludf.DUMMYFUNCTION("""COMPUTED_VALUE"""),"Desktop")</f>
        <v>Desktop</v>
      </c>
      <c r="J259" s="6" t="str">
        <f>IFERROR(__xludf.DUMMYFUNCTION("""COMPUTED_VALUE"""),"Germany")</f>
        <v>Germany</v>
      </c>
      <c r="K259" s="6" t="str">
        <f>IFERROR(__xludf.DUMMYFUNCTION("""COMPUTED_VALUE"""),"Basic")</f>
        <v>Basic</v>
      </c>
      <c r="L259" s="6">
        <f>IFERROR(__xludf.DUMMYFUNCTION("""COMPUTED_VALUE"""),0.0)</f>
        <v>0</v>
      </c>
      <c r="M259" s="6" t="str">
        <f>IFERROR(__xludf.DUMMYFUNCTION("""COMPUTED_VALUE"""),"2023-07")</f>
        <v>2023-07</v>
      </c>
    </row>
    <row r="260">
      <c r="A260" s="6" t="str">
        <f>IFERROR(__xludf.DUMMYFUNCTION("""COMPUTED_VALUE"""),"82fad041-94a5-4027-9dd5-517ef20ef63f")</f>
        <v>82fad041-94a5-4027-9dd5-517ef20ef63f</v>
      </c>
      <c r="B260" s="6" t="str">
        <f>IFERROR(__xludf.DUMMYFUNCTION("""COMPUTED_VALUE"""),"72783dc3-6917-42fc-bffe-e1f0ab99b40c")</f>
        <v>72783dc3-6917-42fc-bffe-e1f0ab99b40c</v>
      </c>
      <c r="C260" s="7">
        <f>IFERROR(__xludf.DUMMYFUNCTION("""COMPUTED_VALUE"""),45000.0)</f>
        <v>45000</v>
      </c>
      <c r="D260" s="8">
        <f>IFERROR(__xludf.DUMMYFUNCTION("""COMPUTED_VALUE"""),7.8005693E7)</f>
        <v>78005693</v>
      </c>
      <c r="E260" s="6" t="str">
        <f>IFERROR(__xludf.DUMMYFUNCTION("""COMPUTED_VALUE"""),"DOCUMENTARY")</f>
        <v>DOCUMENTARY</v>
      </c>
      <c r="F260" s="6" t="str">
        <f>IFERROR(__xludf.DUMMYFUNCTION("""COMPUTED_VALUE"""),"Thriller")</f>
        <v>Thriller</v>
      </c>
      <c r="G260" s="6">
        <f>IFERROR(__xludf.DUMMYFUNCTION("""COMPUTED_VALUE"""),152.0)</f>
        <v>152</v>
      </c>
      <c r="H260" s="6">
        <f>IFERROR(__xludf.DUMMYFUNCTION("""COMPUTED_VALUE"""),1.0)</f>
        <v>1</v>
      </c>
      <c r="I260" s="6" t="str">
        <f>IFERROR(__xludf.DUMMYFUNCTION("""COMPUTED_VALUE"""),"Tablet")</f>
        <v>Tablet</v>
      </c>
      <c r="J260" s="6" t="str">
        <f>IFERROR(__xludf.DUMMYFUNCTION("""COMPUTED_VALUE"""),"Germany")</f>
        <v>Germany</v>
      </c>
      <c r="K260" s="6" t="str">
        <f>IFERROR(__xludf.DUMMYFUNCTION("""COMPUTED_VALUE"""),"Premium")</f>
        <v>Premium</v>
      </c>
      <c r="L260" s="6">
        <f>IFERROR(__xludf.DUMMYFUNCTION("""COMPUTED_VALUE"""),0.0)</f>
        <v>0</v>
      </c>
      <c r="M260" s="6" t="str">
        <f>IFERROR(__xludf.DUMMYFUNCTION("""COMPUTED_VALUE"""),"2023-03")</f>
        <v>2023-03</v>
      </c>
    </row>
    <row r="261">
      <c r="A261" s="6" t="str">
        <f>IFERROR(__xludf.DUMMYFUNCTION("""COMPUTED_VALUE"""),"4cab5ab8-87b9-4ca2-b6da-87656c1242b5")</f>
        <v>4cab5ab8-87b9-4ca2-b6da-87656c1242b5</v>
      </c>
      <c r="B261" s="6" t="str">
        <f>IFERROR(__xludf.DUMMYFUNCTION("""COMPUTED_VALUE"""),"72896e54-8c82-48ff-9988-bd46781fbae6")</f>
        <v>72896e54-8c82-48ff-9988-bd46781fbae6</v>
      </c>
      <c r="C261" s="7">
        <f>IFERROR(__xludf.DUMMYFUNCTION("""COMPUTED_VALUE"""),45020.0)</f>
        <v>45020</v>
      </c>
      <c r="D261" s="8">
        <f>IFERROR(__xludf.DUMMYFUNCTION("""COMPUTED_VALUE"""),9.6537213E7)</f>
        <v>96537213</v>
      </c>
      <c r="E261" s="6" t="str">
        <f>IFERROR(__xludf.DUMMYFUNCTION("""COMPUTED_VALUE"""),"DOCUMENTARY")</f>
        <v>DOCUMENTARY</v>
      </c>
      <c r="F261" s="6" t="str">
        <f>IFERROR(__xludf.DUMMYFUNCTION("""COMPUTED_VALUE"""),"Action")</f>
        <v>Action</v>
      </c>
      <c r="G261" s="6">
        <f>IFERROR(__xludf.DUMMYFUNCTION("""COMPUTED_VALUE"""),19.0)</f>
        <v>19</v>
      </c>
      <c r="H261" s="6">
        <f>IFERROR(__xludf.DUMMYFUNCTION("""COMPUTED_VALUE"""),1.0)</f>
        <v>1</v>
      </c>
      <c r="I261" s="6" t="str">
        <f>IFERROR(__xludf.DUMMYFUNCTION("""COMPUTED_VALUE"""),"Desktop")</f>
        <v>Desktop</v>
      </c>
      <c r="J261" s="6" t="str">
        <f>IFERROR(__xludf.DUMMYFUNCTION("""COMPUTED_VALUE"""),"Usa")</f>
        <v>Usa</v>
      </c>
      <c r="K261" s="6" t="str">
        <f>IFERROR(__xludf.DUMMYFUNCTION("""COMPUTED_VALUE"""),"Standard")</f>
        <v>Standard</v>
      </c>
      <c r="L261" s="6">
        <f>IFERROR(__xludf.DUMMYFUNCTION("""COMPUTED_VALUE"""),0.0)</f>
        <v>0</v>
      </c>
      <c r="M261" s="6" t="str">
        <f>IFERROR(__xludf.DUMMYFUNCTION("""COMPUTED_VALUE"""),"2023-04")</f>
        <v>2023-04</v>
      </c>
    </row>
    <row r="262">
      <c r="A262" s="6" t="str">
        <f>IFERROR(__xludf.DUMMYFUNCTION("""COMPUTED_VALUE"""),"63543195-8402-4665-9065-db9409fa3808")</f>
        <v>63543195-8402-4665-9065-db9409fa3808</v>
      </c>
      <c r="B262" s="6" t="str">
        <f>IFERROR(__xludf.DUMMYFUNCTION("""COMPUTED_VALUE"""),"728c5b24-41d3-4af3-9448-f5239141441d")</f>
        <v>728c5b24-41d3-4af3-9448-f5239141441d</v>
      </c>
      <c r="C262" s="7">
        <f>IFERROR(__xludf.DUMMYFUNCTION("""COMPUTED_VALUE"""),44994.0)</f>
        <v>44994</v>
      </c>
      <c r="D262" s="8">
        <f>IFERROR(__xludf.DUMMYFUNCTION("""COMPUTED_VALUE"""),7.1095813E7)</f>
        <v>71095813</v>
      </c>
      <c r="E262" s="6" t="str">
        <f>IFERROR(__xludf.DUMMYFUNCTION("""COMPUTED_VALUE"""),"SERIES")</f>
        <v>SERIES</v>
      </c>
      <c r="F262" s="6" t="str">
        <f>IFERROR(__xludf.DUMMYFUNCTION("""COMPUTED_VALUE"""),"Comedy")</f>
        <v>Comedy</v>
      </c>
      <c r="G262" s="6">
        <f>IFERROR(__xludf.DUMMYFUNCTION("""COMPUTED_VALUE"""),121.0)</f>
        <v>121</v>
      </c>
      <c r="H262" s="6">
        <f>IFERROR(__xludf.DUMMYFUNCTION("""COMPUTED_VALUE"""),1.0)</f>
        <v>1</v>
      </c>
      <c r="I262" s="6" t="str">
        <f>IFERROR(__xludf.DUMMYFUNCTION("""COMPUTED_VALUE"""),"Smart Tv")</f>
        <v>Smart Tv</v>
      </c>
      <c r="J262" s="6" t="str">
        <f>IFERROR(__xludf.DUMMYFUNCTION("""COMPUTED_VALUE"""),"Uk")</f>
        <v>Uk</v>
      </c>
      <c r="K262" s="6" t="str">
        <f>IFERROR(__xludf.DUMMYFUNCTION("""COMPUTED_VALUE"""),"Premium")</f>
        <v>Premium</v>
      </c>
      <c r="L262" s="6">
        <f>IFERROR(__xludf.DUMMYFUNCTION("""COMPUTED_VALUE"""),0.0)</f>
        <v>0</v>
      </c>
      <c r="M262" s="6" t="str">
        <f>IFERROR(__xludf.DUMMYFUNCTION("""COMPUTED_VALUE"""),"2023-03")</f>
        <v>2023-03</v>
      </c>
    </row>
    <row r="263">
      <c r="A263" s="6" t="str">
        <f>IFERROR(__xludf.DUMMYFUNCTION("""COMPUTED_VALUE"""),"0bd549c5-7155-4904-ac8a-20f1ab44be10")</f>
        <v>0bd549c5-7155-4904-ac8a-20f1ab44be10</v>
      </c>
      <c r="B263" s="6" t="str">
        <f>IFERROR(__xludf.DUMMYFUNCTION("""COMPUTED_VALUE"""),"72d3bb8e-8315-40fd-b21d-0b21ed152c67")</f>
        <v>72d3bb8e-8315-40fd-b21d-0b21ed152c67</v>
      </c>
      <c r="C263" s="7">
        <f>IFERROR(__xludf.DUMMYFUNCTION("""COMPUTED_VALUE"""),45010.0)</f>
        <v>45010</v>
      </c>
      <c r="D263" s="8">
        <f>IFERROR(__xludf.DUMMYFUNCTION("""COMPUTED_VALUE"""),8.9120347E7)</f>
        <v>89120347</v>
      </c>
      <c r="E263" s="6" t="str">
        <f>IFERROR(__xludf.DUMMYFUNCTION("""COMPUTED_VALUE"""),"MOVIE")</f>
        <v>MOVIE</v>
      </c>
      <c r="F263" s="6" t="str">
        <f>IFERROR(__xludf.DUMMYFUNCTION("""COMPUTED_VALUE"""),"Sci-Fi")</f>
        <v>Sci-Fi</v>
      </c>
      <c r="G263" s="6">
        <f>IFERROR(__xludf.DUMMYFUNCTION("""COMPUTED_VALUE"""),166.0)</f>
        <v>166</v>
      </c>
      <c r="H263" s="6">
        <f>IFERROR(__xludf.DUMMYFUNCTION("""COMPUTED_VALUE"""),1.0)</f>
        <v>1</v>
      </c>
      <c r="I263" s="6" t="str">
        <f>IFERROR(__xludf.DUMMYFUNCTION("""COMPUTED_VALUE"""),"Tablet")</f>
        <v>Tablet</v>
      </c>
      <c r="J263" s="6" t="str">
        <f>IFERROR(__xludf.DUMMYFUNCTION("""COMPUTED_VALUE"""),"Usa")</f>
        <v>Usa</v>
      </c>
      <c r="K263" s="6" t="str">
        <f>IFERROR(__xludf.DUMMYFUNCTION("""COMPUTED_VALUE"""),"Standard")</f>
        <v>Standard</v>
      </c>
      <c r="L263" s="6">
        <f>IFERROR(__xludf.DUMMYFUNCTION("""COMPUTED_VALUE"""),0.0)</f>
        <v>0</v>
      </c>
      <c r="M263" s="6" t="str">
        <f>IFERROR(__xludf.DUMMYFUNCTION("""COMPUTED_VALUE"""),"2023-03")</f>
        <v>2023-03</v>
      </c>
    </row>
    <row r="264">
      <c r="A264" s="6" t="str">
        <f>IFERROR(__xludf.DUMMYFUNCTION("""COMPUTED_VALUE"""),"85e6d786-e059-4b33-a79b-2d1e1ebf8378")</f>
        <v>85e6d786-e059-4b33-a79b-2d1e1ebf8378</v>
      </c>
      <c r="B264" s="6" t="str">
        <f>IFERROR(__xludf.DUMMYFUNCTION("""COMPUTED_VALUE"""),"72fd394f-9ad9-4036-b280-91be7d74f38d")</f>
        <v>72fd394f-9ad9-4036-b280-91be7d74f38d</v>
      </c>
      <c r="C264" s="7">
        <f>IFERROR(__xludf.DUMMYFUNCTION("""COMPUTED_VALUE"""),45077.0)</f>
        <v>45077</v>
      </c>
      <c r="D264" s="8">
        <f>IFERROR(__xludf.DUMMYFUNCTION("""COMPUTED_VALUE"""),9.9721497E7)</f>
        <v>99721497</v>
      </c>
      <c r="E264" s="6" t="str">
        <f>IFERROR(__xludf.DUMMYFUNCTION("""COMPUTED_VALUE"""),"DOCUMENTARY")</f>
        <v>DOCUMENTARY</v>
      </c>
      <c r="F264" s="6" t="str">
        <f>IFERROR(__xludf.DUMMYFUNCTION("""COMPUTED_VALUE"""),"Drama")</f>
        <v>Drama</v>
      </c>
      <c r="G264" s="6">
        <f>IFERROR(__xludf.DUMMYFUNCTION("""COMPUTED_VALUE"""),26.0)</f>
        <v>26</v>
      </c>
      <c r="H264" s="6">
        <f>IFERROR(__xludf.DUMMYFUNCTION("""COMPUTED_VALUE"""),1.0)</f>
        <v>1</v>
      </c>
      <c r="I264" s="6" t="str">
        <f>IFERROR(__xludf.DUMMYFUNCTION("""COMPUTED_VALUE"""),"Smart Tv")</f>
        <v>Smart Tv</v>
      </c>
      <c r="J264" s="6" t="str">
        <f>IFERROR(__xludf.DUMMYFUNCTION("""COMPUTED_VALUE"""),"France")</f>
        <v>France</v>
      </c>
      <c r="K264" s="6" t="str">
        <f>IFERROR(__xludf.DUMMYFUNCTION("""COMPUTED_VALUE"""),"Standard")</f>
        <v>Standard</v>
      </c>
      <c r="L264" s="6">
        <f>IFERROR(__xludf.DUMMYFUNCTION("""COMPUTED_VALUE"""),0.0)</f>
        <v>0</v>
      </c>
      <c r="M264" s="6" t="str">
        <f>IFERROR(__xludf.DUMMYFUNCTION("""COMPUTED_VALUE"""),"2023-05")</f>
        <v>2023-05</v>
      </c>
    </row>
    <row r="265">
      <c r="A265" s="6" t="str">
        <f>IFERROR(__xludf.DUMMYFUNCTION("""COMPUTED_VALUE"""),"0a9c40c0-c129-4e8e-b4cf-3d5d51176e9b")</f>
        <v>0a9c40c0-c129-4e8e-b4cf-3d5d51176e9b</v>
      </c>
      <c r="B265" s="6" t="str">
        <f>IFERROR(__xludf.DUMMYFUNCTION("""COMPUTED_VALUE"""),"73522179-16d4-487e-ac18-2c289284cc11")</f>
        <v>73522179-16d4-487e-ac18-2c289284cc11</v>
      </c>
      <c r="C265" s="7">
        <f>IFERROR(__xludf.DUMMYFUNCTION("""COMPUTED_VALUE"""),45096.0)</f>
        <v>45096</v>
      </c>
      <c r="D265" s="8">
        <f>IFERROR(__xludf.DUMMYFUNCTION("""COMPUTED_VALUE"""),3.4105597E7)</f>
        <v>34105597</v>
      </c>
      <c r="E265" s="6" t="str">
        <f>IFERROR(__xludf.DUMMYFUNCTION("""COMPUTED_VALUE"""),"MOVIE")</f>
        <v>MOVIE</v>
      </c>
      <c r="F265" s="6" t="str">
        <f>IFERROR(__xludf.DUMMYFUNCTION("""COMPUTED_VALUE"""),"Comedy")</f>
        <v>Comedy</v>
      </c>
      <c r="G265" s="6">
        <f>IFERROR(__xludf.DUMMYFUNCTION("""COMPUTED_VALUE"""),140.0)</f>
        <v>140</v>
      </c>
      <c r="H265" s="6">
        <f>IFERROR(__xludf.DUMMYFUNCTION("""COMPUTED_VALUE"""),0.0)</f>
        <v>0</v>
      </c>
      <c r="I265" s="6" t="str">
        <f>IFERROR(__xludf.DUMMYFUNCTION("""COMPUTED_VALUE"""),"Mobile")</f>
        <v>Mobile</v>
      </c>
      <c r="J265" s="6" t="str">
        <f>IFERROR(__xludf.DUMMYFUNCTION("""COMPUTED_VALUE"""),"France")</f>
        <v>France</v>
      </c>
      <c r="K265" s="6" t="str">
        <f>IFERROR(__xludf.DUMMYFUNCTION("""COMPUTED_VALUE"""),"Premium")</f>
        <v>Premium</v>
      </c>
      <c r="L265" s="6">
        <f>IFERROR(__xludf.DUMMYFUNCTION("""COMPUTED_VALUE"""),0.0)</f>
        <v>0</v>
      </c>
      <c r="M265" s="6" t="str">
        <f>IFERROR(__xludf.DUMMYFUNCTION("""COMPUTED_VALUE"""),"2023-06")</f>
        <v>2023-06</v>
      </c>
    </row>
    <row r="266">
      <c r="A266" s="6" t="str">
        <f>IFERROR(__xludf.DUMMYFUNCTION("""COMPUTED_VALUE"""),"ac2dd428-f9d0-456f-9d3c-8f95ee038c4b")</f>
        <v>ac2dd428-f9d0-456f-9d3c-8f95ee038c4b</v>
      </c>
      <c r="B266" s="6" t="str">
        <f>IFERROR(__xludf.DUMMYFUNCTION("""COMPUTED_VALUE"""),"736d7f07-8be6-4444-a557-66e3a4a2f73c")</f>
        <v>736d7f07-8be6-4444-a557-66e3a4a2f73c</v>
      </c>
      <c r="C266" s="7">
        <f>IFERROR(__xludf.DUMMYFUNCTION("""COMPUTED_VALUE"""),45278.0)</f>
        <v>45278</v>
      </c>
      <c r="D266" s="8">
        <f>IFERROR(__xludf.DUMMYFUNCTION("""COMPUTED_VALUE"""),1.9387338E7)</f>
        <v>19387338</v>
      </c>
      <c r="E266" s="6" t="str">
        <f>IFERROR(__xludf.DUMMYFUNCTION("""COMPUTED_VALUE"""),"MOVIE")</f>
        <v>MOVIE</v>
      </c>
      <c r="F266" s="6" t="str">
        <f>IFERROR(__xludf.DUMMYFUNCTION("""COMPUTED_VALUE"""),"Sci-Fi")</f>
        <v>Sci-Fi</v>
      </c>
      <c r="G266" s="6">
        <f>IFERROR(__xludf.DUMMYFUNCTION("""COMPUTED_VALUE"""),105.0)</f>
        <v>105</v>
      </c>
      <c r="H266" s="6">
        <f>IFERROR(__xludf.DUMMYFUNCTION("""COMPUTED_VALUE"""),1.0)</f>
        <v>1</v>
      </c>
      <c r="I266" s="6" t="str">
        <f>IFERROR(__xludf.DUMMYFUNCTION("""COMPUTED_VALUE"""),"Desktop")</f>
        <v>Desktop</v>
      </c>
      <c r="J266" s="6" t="str">
        <f>IFERROR(__xludf.DUMMYFUNCTION("""COMPUTED_VALUE"""),"Usa")</f>
        <v>Usa</v>
      </c>
      <c r="K266" s="6" t="str">
        <f>IFERROR(__xludf.DUMMYFUNCTION("""COMPUTED_VALUE"""),"Basic")</f>
        <v>Basic</v>
      </c>
      <c r="L266" s="6">
        <f>IFERROR(__xludf.DUMMYFUNCTION("""COMPUTED_VALUE"""),0.0)</f>
        <v>0</v>
      </c>
      <c r="M266" s="6" t="str">
        <f>IFERROR(__xludf.DUMMYFUNCTION("""COMPUTED_VALUE"""),"2023-12")</f>
        <v>2023-12</v>
      </c>
    </row>
    <row r="267">
      <c r="A267" s="6" t="str">
        <f>IFERROR(__xludf.DUMMYFUNCTION("""COMPUTED_VALUE"""),"f3319ca4-e072-40c4-b3f6-9e79afcc43c3")</f>
        <v>f3319ca4-e072-40c4-b3f6-9e79afcc43c3</v>
      </c>
      <c r="B267" s="6" t="str">
        <f>IFERROR(__xludf.DUMMYFUNCTION("""COMPUTED_VALUE"""),"7397d0dc-9948-4fcc-9624-c9e99f67895e")</f>
        <v>7397d0dc-9948-4fcc-9624-c9e99f67895e</v>
      </c>
      <c r="C267" s="7">
        <f>IFERROR(__xludf.DUMMYFUNCTION("""COMPUTED_VALUE"""),45158.0)</f>
        <v>45158</v>
      </c>
      <c r="D267" s="8">
        <f>IFERROR(__xludf.DUMMYFUNCTION("""COMPUTED_VALUE"""),2.9544974E7)</f>
        <v>29544974</v>
      </c>
      <c r="E267" s="6" t="str">
        <f>IFERROR(__xludf.DUMMYFUNCTION("""COMPUTED_VALUE"""),"SERIES")</f>
        <v>SERIES</v>
      </c>
      <c r="F267" s="6" t="str">
        <f>IFERROR(__xludf.DUMMYFUNCTION("""COMPUTED_VALUE"""),"Thriller")</f>
        <v>Thriller</v>
      </c>
      <c r="G267" s="6">
        <f>IFERROR(__xludf.DUMMYFUNCTION("""COMPUTED_VALUE"""),112.0)</f>
        <v>112</v>
      </c>
      <c r="H267" s="6">
        <f>IFERROR(__xludf.DUMMYFUNCTION("""COMPUTED_VALUE"""),0.0)</f>
        <v>0</v>
      </c>
      <c r="I267" s="6" t="str">
        <f>IFERROR(__xludf.DUMMYFUNCTION("""COMPUTED_VALUE"""),"Tablet")</f>
        <v>Tablet</v>
      </c>
      <c r="J267" s="6" t="str">
        <f>IFERROR(__xludf.DUMMYFUNCTION("""COMPUTED_VALUE"""),"Germany")</f>
        <v>Germany</v>
      </c>
      <c r="K267" s="6" t="str">
        <f>IFERROR(__xludf.DUMMYFUNCTION("""COMPUTED_VALUE"""),"Standard")</f>
        <v>Standard</v>
      </c>
      <c r="L267" s="6">
        <f>IFERROR(__xludf.DUMMYFUNCTION("""COMPUTED_VALUE"""),0.0)</f>
        <v>0</v>
      </c>
      <c r="M267" s="6" t="str">
        <f>IFERROR(__xludf.DUMMYFUNCTION("""COMPUTED_VALUE"""),"2023-08")</f>
        <v>2023-08</v>
      </c>
    </row>
    <row r="268">
      <c r="A268" s="6" t="str">
        <f>IFERROR(__xludf.DUMMYFUNCTION("""COMPUTED_VALUE"""),"3d1e9521-a3f2-4f45-92fc-925c7a665233")</f>
        <v>3d1e9521-a3f2-4f45-92fc-925c7a665233</v>
      </c>
      <c r="B268" s="6" t="str">
        <f>IFERROR(__xludf.DUMMYFUNCTION("""COMPUTED_VALUE"""),"73de51ee-8cbd-4ab3-a94f-ca16bc078a5b")</f>
        <v>73de51ee-8cbd-4ab3-a94f-ca16bc078a5b</v>
      </c>
      <c r="C268" s="7">
        <f>IFERROR(__xludf.DUMMYFUNCTION("""COMPUTED_VALUE"""),45155.0)</f>
        <v>45155</v>
      </c>
      <c r="D268" s="8">
        <f>IFERROR(__xludf.DUMMYFUNCTION("""COMPUTED_VALUE"""),8.3483745E7)</f>
        <v>83483745</v>
      </c>
      <c r="E268" s="6" t="str">
        <f>IFERROR(__xludf.DUMMYFUNCTION("""COMPUTED_VALUE"""),"MOVIE")</f>
        <v>MOVIE</v>
      </c>
      <c r="F268" s="6" t="str">
        <f>IFERROR(__xludf.DUMMYFUNCTION("""COMPUTED_VALUE"""),"Drama")</f>
        <v>Drama</v>
      </c>
      <c r="G268" s="6">
        <f>IFERROR(__xludf.DUMMYFUNCTION("""COMPUTED_VALUE"""),118.0)</f>
        <v>118</v>
      </c>
      <c r="H268" s="6">
        <f>IFERROR(__xludf.DUMMYFUNCTION("""COMPUTED_VALUE"""),1.0)</f>
        <v>1</v>
      </c>
      <c r="I268" s="6" t="str">
        <f>IFERROR(__xludf.DUMMYFUNCTION("""COMPUTED_VALUE"""),"Desktop")</f>
        <v>Desktop</v>
      </c>
      <c r="J268" s="6" t="str">
        <f>IFERROR(__xludf.DUMMYFUNCTION("""COMPUTED_VALUE"""),"India")</f>
        <v>India</v>
      </c>
      <c r="K268" s="6" t="str">
        <f>IFERROR(__xludf.DUMMYFUNCTION("""COMPUTED_VALUE"""),"Standard")</f>
        <v>Standard</v>
      </c>
      <c r="L268" s="6">
        <f>IFERROR(__xludf.DUMMYFUNCTION("""COMPUTED_VALUE"""),0.0)</f>
        <v>0</v>
      </c>
      <c r="M268" s="6" t="str">
        <f>IFERROR(__xludf.DUMMYFUNCTION("""COMPUTED_VALUE"""),"2023-08")</f>
        <v>2023-08</v>
      </c>
    </row>
    <row r="269">
      <c r="A269" s="6" t="str">
        <f>IFERROR(__xludf.DUMMYFUNCTION("""COMPUTED_VALUE"""),"bb4750e5-0e8c-46fa-94dd-dbc7b3884ab6")</f>
        <v>bb4750e5-0e8c-46fa-94dd-dbc7b3884ab6</v>
      </c>
      <c r="B269" s="6" t="str">
        <f>IFERROR(__xludf.DUMMYFUNCTION("""COMPUTED_VALUE"""),"74159f23-1edc-4e4d-a8b1-c0eaa5a40157")</f>
        <v>74159f23-1edc-4e4d-a8b1-c0eaa5a40157</v>
      </c>
      <c r="C269" s="7">
        <f>IFERROR(__xludf.DUMMYFUNCTION("""COMPUTED_VALUE"""),45176.0)</f>
        <v>45176</v>
      </c>
      <c r="D269" s="8">
        <f>IFERROR(__xludf.DUMMYFUNCTION("""COMPUTED_VALUE"""),7.6337857E7)</f>
        <v>76337857</v>
      </c>
      <c r="E269" s="6" t="str">
        <f>IFERROR(__xludf.DUMMYFUNCTION("""COMPUTED_VALUE"""),"SERIES")</f>
        <v>SERIES</v>
      </c>
      <c r="F269" s="6" t="str">
        <f>IFERROR(__xludf.DUMMYFUNCTION("""COMPUTED_VALUE"""),"Comedy")</f>
        <v>Comedy</v>
      </c>
      <c r="G269" s="6">
        <f>IFERROR(__xludf.DUMMYFUNCTION("""COMPUTED_VALUE"""),92.0)</f>
        <v>92</v>
      </c>
      <c r="H269" s="6">
        <f>IFERROR(__xludf.DUMMYFUNCTION("""COMPUTED_VALUE"""),1.0)</f>
        <v>1</v>
      </c>
      <c r="I269" s="6" t="str">
        <f>IFERROR(__xludf.DUMMYFUNCTION("""COMPUTED_VALUE"""),"Smart Tv")</f>
        <v>Smart Tv</v>
      </c>
      <c r="J269" s="6" t="str">
        <f>IFERROR(__xludf.DUMMYFUNCTION("""COMPUTED_VALUE"""),"Uk")</f>
        <v>Uk</v>
      </c>
      <c r="K269" s="6" t="str">
        <f>IFERROR(__xludf.DUMMYFUNCTION("""COMPUTED_VALUE"""),"Standard")</f>
        <v>Standard</v>
      </c>
      <c r="L269" s="6">
        <f>IFERROR(__xludf.DUMMYFUNCTION("""COMPUTED_VALUE"""),0.0)</f>
        <v>0</v>
      </c>
      <c r="M269" s="6" t="str">
        <f>IFERROR(__xludf.DUMMYFUNCTION("""COMPUTED_VALUE"""),"2023-09")</f>
        <v>2023-09</v>
      </c>
    </row>
    <row r="270">
      <c r="A270" s="6" t="str">
        <f>IFERROR(__xludf.DUMMYFUNCTION("""COMPUTED_VALUE"""),"ce9aa076-faac-4f76-af30-a7a2585340c4")</f>
        <v>ce9aa076-faac-4f76-af30-a7a2585340c4</v>
      </c>
      <c r="B270" s="6" t="str">
        <f>IFERROR(__xludf.DUMMYFUNCTION("""COMPUTED_VALUE"""),"74d542f8-4878-4447-81ab-db852b7e4e1e")</f>
        <v>74d542f8-4878-4447-81ab-db852b7e4e1e</v>
      </c>
      <c r="C270" s="7">
        <f>IFERROR(__xludf.DUMMYFUNCTION("""COMPUTED_VALUE"""),45015.0)</f>
        <v>45015</v>
      </c>
      <c r="D270" s="8">
        <f>IFERROR(__xludf.DUMMYFUNCTION("""COMPUTED_VALUE"""),7.2954409E7)</f>
        <v>72954409</v>
      </c>
      <c r="E270" s="6" t="str">
        <f>IFERROR(__xludf.DUMMYFUNCTION("""COMPUTED_VALUE"""),"DOCUMENTARY")</f>
        <v>DOCUMENTARY</v>
      </c>
      <c r="F270" s="6" t="str">
        <f>IFERROR(__xludf.DUMMYFUNCTION("""COMPUTED_VALUE"""),"Drama")</f>
        <v>Drama</v>
      </c>
      <c r="G270" s="6">
        <f>IFERROR(__xludf.DUMMYFUNCTION("""COMPUTED_VALUE"""),159.0)</f>
        <v>159</v>
      </c>
      <c r="H270" s="6">
        <f>IFERROR(__xludf.DUMMYFUNCTION("""COMPUTED_VALUE"""),1.0)</f>
        <v>1</v>
      </c>
      <c r="I270" s="6" t="str">
        <f>IFERROR(__xludf.DUMMYFUNCTION("""COMPUTED_VALUE"""),"Smart Tv")</f>
        <v>Smart Tv</v>
      </c>
      <c r="J270" s="6" t="str">
        <f>IFERROR(__xludf.DUMMYFUNCTION("""COMPUTED_VALUE"""),"Germany")</f>
        <v>Germany</v>
      </c>
      <c r="K270" s="6" t="str">
        <f>IFERROR(__xludf.DUMMYFUNCTION("""COMPUTED_VALUE"""),"Basic")</f>
        <v>Basic</v>
      </c>
      <c r="L270" s="6">
        <f>IFERROR(__xludf.DUMMYFUNCTION("""COMPUTED_VALUE"""),0.0)</f>
        <v>0</v>
      </c>
      <c r="M270" s="6" t="str">
        <f>IFERROR(__xludf.DUMMYFUNCTION("""COMPUTED_VALUE"""),"2023-03")</f>
        <v>2023-03</v>
      </c>
    </row>
    <row r="271">
      <c r="A271" s="6" t="str">
        <f>IFERROR(__xludf.DUMMYFUNCTION("""COMPUTED_VALUE"""),"637ae522-86b3-47a0-90d4-226a7f292f48")</f>
        <v>637ae522-86b3-47a0-90d4-226a7f292f48</v>
      </c>
      <c r="B271" s="6" t="str">
        <f>IFERROR(__xludf.DUMMYFUNCTION("""COMPUTED_VALUE"""),"75a299c1-a044-481f-b7d7-800b635c66d5")</f>
        <v>75a299c1-a044-481f-b7d7-800b635c66d5</v>
      </c>
      <c r="C271" s="7">
        <f>IFERROR(__xludf.DUMMYFUNCTION("""COMPUTED_VALUE"""),45037.0)</f>
        <v>45037</v>
      </c>
      <c r="D271" s="8">
        <f>IFERROR(__xludf.DUMMYFUNCTION("""COMPUTED_VALUE"""),8303745.0)</f>
        <v>8303745</v>
      </c>
      <c r="E271" s="6" t="str">
        <f>IFERROR(__xludf.DUMMYFUNCTION("""COMPUTED_VALUE"""),"DOCUMENTARY")</f>
        <v>DOCUMENTARY</v>
      </c>
      <c r="F271" s="6" t="str">
        <f>IFERROR(__xludf.DUMMYFUNCTION("""COMPUTED_VALUE"""),"Drama")</f>
        <v>Drama</v>
      </c>
      <c r="G271" s="6">
        <f>IFERROR(__xludf.DUMMYFUNCTION("""COMPUTED_VALUE"""),102.0)</f>
        <v>102</v>
      </c>
      <c r="H271" s="6">
        <f>IFERROR(__xludf.DUMMYFUNCTION("""COMPUTED_VALUE"""),1.0)</f>
        <v>1</v>
      </c>
      <c r="I271" s="6" t="str">
        <f>IFERROR(__xludf.DUMMYFUNCTION("""COMPUTED_VALUE"""),"Tablet")</f>
        <v>Tablet</v>
      </c>
      <c r="J271" s="6" t="str">
        <f>IFERROR(__xludf.DUMMYFUNCTION("""COMPUTED_VALUE"""),"India")</f>
        <v>India</v>
      </c>
      <c r="K271" s="6" t="str">
        <f>IFERROR(__xludf.DUMMYFUNCTION("""COMPUTED_VALUE"""),"Basic")</f>
        <v>Basic</v>
      </c>
      <c r="L271" s="6">
        <f>IFERROR(__xludf.DUMMYFUNCTION("""COMPUTED_VALUE"""),1.0)</f>
        <v>1</v>
      </c>
      <c r="M271" s="6" t="str">
        <f>IFERROR(__xludf.DUMMYFUNCTION("""COMPUTED_VALUE"""),"2023-04")</f>
        <v>2023-04</v>
      </c>
    </row>
    <row r="272">
      <c r="A272" s="6" t="str">
        <f>IFERROR(__xludf.DUMMYFUNCTION("""COMPUTED_VALUE"""),"53434e3c-7048-4b7c-a2ec-9db800301adb")</f>
        <v>53434e3c-7048-4b7c-a2ec-9db800301adb</v>
      </c>
      <c r="B272" s="6" t="str">
        <f>IFERROR(__xludf.DUMMYFUNCTION("""COMPUTED_VALUE"""),"76abee3f-deff-41d7-879d-4e124124d5a3")</f>
        <v>76abee3f-deff-41d7-879d-4e124124d5a3</v>
      </c>
      <c r="C272" s="7">
        <f>IFERROR(__xludf.DUMMYFUNCTION("""COMPUTED_VALUE"""),45058.0)</f>
        <v>45058</v>
      </c>
      <c r="D272" s="8">
        <f>IFERROR(__xludf.DUMMYFUNCTION("""COMPUTED_VALUE"""),8.3105807E7)</f>
        <v>83105807</v>
      </c>
      <c r="E272" s="6" t="str">
        <f>IFERROR(__xludf.DUMMYFUNCTION("""COMPUTED_VALUE"""),"SERIES")</f>
        <v>SERIES</v>
      </c>
      <c r="F272" s="6" t="str">
        <f>IFERROR(__xludf.DUMMYFUNCTION("""COMPUTED_VALUE"""),"Comedy")</f>
        <v>Comedy</v>
      </c>
      <c r="G272" s="6">
        <f>IFERROR(__xludf.DUMMYFUNCTION("""COMPUTED_VALUE"""),175.0)</f>
        <v>175</v>
      </c>
      <c r="H272" s="6">
        <f>IFERROR(__xludf.DUMMYFUNCTION("""COMPUTED_VALUE"""),0.0)</f>
        <v>0</v>
      </c>
      <c r="I272" s="6" t="str">
        <f>IFERROR(__xludf.DUMMYFUNCTION("""COMPUTED_VALUE"""),"Tablet")</f>
        <v>Tablet</v>
      </c>
      <c r="J272" s="6" t="str">
        <f>IFERROR(__xludf.DUMMYFUNCTION("""COMPUTED_VALUE"""),"France")</f>
        <v>France</v>
      </c>
      <c r="K272" s="6" t="str">
        <f>IFERROR(__xludf.DUMMYFUNCTION("""COMPUTED_VALUE"""),"Basic")</f>
        <v>Basic</v>
      </c>
      <c r="L272" s="6">
        <f>IFERROR(__xludf.DUMMYFUNCTION("""COMPUTED_VALUE"""),0.0)</f>
        <v>0</v>
      </c>
      <c r="M272" s="6" t="str">
        <f>IFERROR(__xludf.DUMMYFUNCTION("""COMPUTED_VALUE"""),"2023-05")</f>
        <v>2023-05</v>
      </c>
    </row>
    <row r="273">
      <c r="A273" s="6" t="str">
        <f>IFERROR(__xludf.DUMMYFUNCTION("""COMPUTED_VALUE"""),"6a4cfb4b-9222-4a53-9e64-b288801f75e8")</f>
        <v>6a4cfb4b-9222-4a53-9e64-b288801f75e8</v>
      </c>
      <c r="B273" s="6" t="str">
        <f>IFERROR(__xludf.DUMMYFUNCTION("""COMPUTED_VALUE"""),"76fbba77-b1d5-4851-a4e2-ec8f60963944")</f>
        <v>76fbba77-b1d5-4851-a4e2-ec8f60963944</v>
      </c>
      <c r="C273" s="7">
        <f>IFERROR(__xludf.DUMMYFUNCTION("""COMPUTED_VALUE"""),45133.0)</f>
        <v>45133</v>
      </c>
      <c r="D273" s="8">
        <f>IFERROR(__xludf.DUMMYFUNCTION("""COMPUTED_VALUE"""),1.2252572E7)</f>
        <v>12252572</v>
      </c>
      <c r="E273" s="6" t="str">
        <f>IFERROR(__xludf.DUMMYFUNCTION("""COMPUTED_VALUE"""),"SERIES")</f>
        <v>SERIES</v>
      </c>
      <c r="F273" s="6" t="str">
        <f>IFERROR(__xludf.DUMMYFUNCTION("""COMPUTED_VALUE"""),"Thriller")</f>
        <v>Thriller</v>
      </c>
      <c r="G273" s="6">
        <f>IFERROR(__xludf.DUMMYFUNCTION("""COMPUTED_VALUE"""),108.0)</f>
        <v>108</v>
      </c>
      <c r="H273" s="6">
        <f>IFERROR(__xludf.DUMMYFUNCTION("""COMPUTED_VALUE"""),1.0)</f>
        <v>1</v>
      </c>
      <c r="I273" s="6" t="str">
        <f>IFERROR(__xludf.DUMMYFUNCTION("""COMPUTED_VALUE"""),"Mobile")</f>
        <v>Mobile</v>
      </c>
      <c r="J273" s="6" t="str">
        <f>IFERROR(__xludf.DUMMYFUNCTION("""COMPUTED_VALUE"""),"France")</f>
        <v>France</v>
      </c>
      <c r="K273" s="6" t="str">
        <f>IFERROR(__xludf.DUMMYFUNCTION("""COMPUTED_VALUE"""),"Premium")</f>
        <v>Premium</v>
      </c>
      <c r="L273" s="6">
        <f>IFERROR(__xludf.DUMMYFUNCTION("""COMPUTED_VALUE"""),0.0)</f>
        <v>0</v>
      </c>
      <c r="M273" s="6" t="str">
        <f>IFERROR(__xludf.DUMMYFUNCTION("""COMPUTED_VALUE"""),"2023-07")</f>
        <v>2023-07</v>
      </c>
    </row>
    <row r="274">
      <c r="A274" s="6" t="str">
        <f>IFERROR(__xludf.DUMMYFUNCTION("""COMPUTED_VALUE"""),"a1c61284-5f9e-40cd-b109-f5b312be8c77")</f>
        <v>a1c61284-5f9e-40cd-b109-f5b312be8c77</v>
      </c>
      <c r="B274" s="6" t="str">
        <f>IFERROR(__xludf.DUMMYFUNCTION("""COMPUTED_VALUE"""),"7729b1de-4301-4323-a8ee-559d1f3cf8c7")</f>
        <v>7729b1de-4301-4323-a8ee-559d1f3cf8c7</v>
      </c>
      <c r="C274" s="7">
        <f>IFERROR(__xludf.DUMMYFUNCTION("""COMPUTED_VALUE"""),45200.0)</f>
        <v>45200</v>
      </c>
      <c r="D274" s="8">
        <f>IFERROR(__xludf.DUMMYFUNCTION("""COMPUTED_VALUE"""),2.739061E7)</f>
        <v>27390610</v>
      </c>
      <c r="E274" s="6" t="str">
        <f>IFERROR(__xludf.DUMMYFUNCTION("""COMPUTED_VALUE"""),"SERIES")</f>
        <v>SERIES</v>
      </c>
      <c r="F274" s="6" t="str">
        <f>IFERROR(__xludf.DUMMYFUNCTION("""COMPUTED_VALUE"""),"Action")</f>
        <v>Action</v>
      </c>
      <c r="G274" s="6">
        <f>IFERROR(__xludf.DUMMYFUNCTION("""COMPUTED_VALUE"""),164.0)</f>
        <v>164</v>
      </c>
      <c r="H274" s="6">
        <f>IFERROR(__xludf.DUMMYFUNCTION("""COMPUTED_VALUE"""),0.0)</f>
        <v>0</v>
      </c>
      <c r="I274" s="6" t="str">
        <f>IFERROR(__xludf.DUMMYFUNCTION("""COMPUTED_VALUE"""),"Smart Tv")</f>
        <v>Smart Tv</v>
      </c>
      <c r="J274" s="6" t="str">
        <f>IFERROR(__xludf.DUMMYFUNCTION("""COMPUTED_VALUE"""),"Uk")</f>
        <v>Uk</v>
      </c>
      <c r="K274" s="6" t="str">
        <f>IFERROR(__xludf.DUMMYFUNCTION("""COMPUTED_VALUE"""),"Premium")</f>
        <v>Premium</v>
      </c>
      <c r="L274" s="6">
        <f>IFERROR(__xludf.DUMMYFUNCTION("""COMPUTED_VALUE"""),0.0)</f>
        <v>0</v>
      </c>
      <c r="M274" s="6" t="str">
        <f>IFERROR(__xludf.DUMMYFUNCTION("""COMPUTED_VALUE"""),"2023-10")</f>
        <v>2023-10</v>
      </c>
    </row>
    <row r="275">
      <c r="A275" s="6" t="str">
        <f>IFERROR(__xludf.DUMMYFUNCTION("""COMPUTED_VALUE"""),"0f38f1af-93ca-493b-bb25-1899215da72f")</f>
        <v>0f38f1af-93ca-493b-bb25-1899215da72f</v>
      </c>
      <c r="B275" s="6" t="str">
        <f>IFERROR(__xludf.DUMMYFUNCTION("""COMPUTED_VALUE"""),"77fcf232-852b-4658-8ba5-cdd4d39cb220")</f>
        <v>77fcf232-852b-4658-8ba5-cdd4d39cb220</v>
      </c>
      <c r="C275" s="7">
        <f>IFERROR(__xludf.DUMMYFUNCTION("""COMPUTED_VALUE"""),45157.0)</f>
        <v>45157</v>
      </c>
      <c r="D275" s="8">
        <f>IFERROR(__xludf.DUMMYFUNCTION("""COMPUTED_VALUE"""),8.2992774E7)</f>
        <v>82992774</v>
      </c>
      <c r="E275" s="6" t="str">
        <f>IFERROR(__xludf.DUMMYFUNCTION("""COMPUTED_VALUE"""),"SERIES")</f>
        <v>SERIES</v>
      </c>
      <c r="F275" s="6" t="str">
        <f>IFERROR(__xludf.DUMMYFUNCTION("""COMPUTED_VALUE"""),"Thriller")</f>
        <v>Thriller</v>
      </c>
      <c r="G275" s="6">
        <f>IFERROR(__xludf.DUMMYFUNCTION("""COMPUTED_VALUE"""),118.0)</f>
        <v>118</v>
      </c>
      <c r="H275" s="6">
        <f>IFERROR(__xludf.DUMMYFUNCTION("""COMPUTED_VALUE"""),1.0)</f>
        <v>1</v>
      </c>
      <c r="I275" s="6" t="str">
        <f>IFERROR(__xludf.DUMMYFUNCTION("""COMPUTED_VALUE"""),"Smart Tv")</f>
        <v>Smart Tv</v>
      </c>
      <c r="J275" s="6" t="str">
        <f>IFERROR(__xludf.DUMMYFUNCTION("""COMPUTED_VALUE"""),"France")</f>
        <v>France</v>
      </c>
      <c r="K275" s="6" t="str">
        <f>IFERROR(__xludf.DUMMYFUNCTION("""COMPUTED_VALUE"""),"Premium")</f>
        <v>Premium</v>
      </c>
      <c r="L275" s="6">
        <f>IFERROR(__xludf.DUMMYFUNCTION("""COMPUTED_VALUE"""),0.0)</f>
        <v>0</v>
      </c>
      <c r="M275" s="6" t="str">
        <f>IFERROR(__xludf.DUMMYFUNCTION("""COMPUTED_VALUE"""),"2023-08")</f>
        <v>2023-08</v>
      </c>
    </row>
    <row r="276">
      <c r="A276" s="6" t="str">
        <f>IFERROR(__xludf.DUMMYFUNCTION("""COMPUTED_VALUE"""),"43419ace-febd-4b72-ae24-df89e9c5c130")</f>
        <v>43419ace-febd-4b72-ae24-df89e9c5c130</v>
      </c>
      <c r="B276" s="6" t="str">
        <f>IFERROR(__xludf.DUMMYFUNCTION("""COMPUTED_VALUE"""),"783ce93d-8f98-4c52-91fc-637a2d7ed291")</f>
        <v>783ce93d-8f98-4c52-91fc-637a2d7ed291</v>
      </c>
      <c r="C276" s="7">
        <f>IFERROR(__xludf.DUMMYFUNCTION("""COMPUTED_VALUE"""),45009.0)</f>
        <v>45009</v>
      </c>
      <c r="D276" s="8">
        <f>IFERROR(__xludf.DUMMYFUNCTION("""COMPUTED_VALUE"""),9409736.0)</f>
        <v>9409736</v>
      </c>
      <c r="E276" s="6" t="str">
        <f>IFERROR(__xludf.DUMMYFUNCTION("""COMPUTED_VALUE"""),"MOVIE")</f>
        <v>MOVIE</v>
      </c>
      <c r="F276" s="6" t="str">
        <f>IFERROR(__xludf.DUMMYFUNCTION("""COMPUTED_VALUE"""),"Thriller")</f>
        <v>Thriller</v>
      </c>
      <c r="G276" s="6">
        <f>IFERROR(__xludf.DUMMYFUNCTION("""COMPUTED_VALUE"""),63.0)</f>
        <v>63</v>
      </c>
      <c r="H276" s="6">
        <f>IFERROR(__xludf.DUMMYFUNCTION("""COMPUTED_VALUE"""),1.0)</f>
        <v>1</v>
      </c>
      <c r="I276" s="6" t="str">
        <f>IFERROR(__xludf.DUMMYFUNCTION("""COMPUTED_VALUE"""),"Desktop")</f>
        <v>Desktop</v>
      </c>
      <c r="J276" s="6" t="str">
        <f>IFERROR(__xludf.DUMMYFUNCTION("""COMPUTED_VALUE"""),"France")</f>
        <v>France</v>
      </c>
      <c r="K276" s="6" t="str">
        <f>IFERROR(__xludf.DUMMYFUNCTION("""COMPUTED_VALUE"""),"Basic")</f>
        <v>Basic</v>
      </c>
      <c r="L276" s="6">
        <f>IFERROR(__xludf.DUMMYFUNCTION("""COMPUTED_VALUE"""),0.0)</f>
        <v>0</v>
      </c>
      <c r="M276" s="6" t="str">
        <f>IFERROR(__xludf.DUMMYFUNCTION("""COMPUTED_VALUE"""),"2023-03")</f>
        <v>2023-03</v>
      </c>
    </row>
    <row r="277">
      <c r="A277" s="6" t="str">
        <f>IFERROR(__xludf.DUMMYFUNCTION("""COMPUTED_VALUE"""),"d304d06c-6173-47b0-8adf-5c3e706744a8")</f>
        <v>d304d06c-6173-47b0-8adf-5c3e706744a8</v>
      </c>
      <c r="B277" s="6" t="str">
        <f>IFERROR(__xludf.DUMMYFUNCTION("""COMPUTED_VALUE"""),"785bc569-e52a-4a9a-8141-2f5351004cdc")</f>
        <v>785bc569-e52a-4a9a-8141-2f5351004cdc</v>
      </c>
      <c r="C277" s="7">
        <f>IFERROR(__xludf.DUMMYFUNCTION("""COMPUTED_VALUE"""),45291.0)</f>
        <v>45291</v>
      </c>
      <c r="D277" s="8">
        <f>IFERROR(__xludf.DUMMYFUNCTION("""COMPUTED_VALUE"""),9.9475376E7)</f>
        <v>99475376</v>
      </c>
      <c r="E277" s="6" t="str">
        <f>IFERROR(__xludf.DUMMYFUNCTION("""COMPUTED_VALUE"""),"SERIES")</f>
        <v>SERIES</v>
      </c>
      <c r="F277" s="6" t="str">
        <f>IFERROR(__xludf.DUMMYFUNCTION("""COMPUTED_VALUE"""),"Sci-Fi")</f>
        <v>Sci-Fi</v>
      </c>
      <c r="G277" s="6">
        <f>IFERROR(__xludf.DUMMYFUNCTION("""COMPUTED_VALUE"""),59.0)</f>
        <v>59</v>
      </c>
      <c r="H277" s="6">
        <f>IFERROR(__xludf.DUMMYFUNCTION("""COMPUTED_VALUE"""),0.0)</f>
        <v>0</v>
      </c>
      <c r="I277" s="6" t="str">
        <f>IFERROR(__xludf.DUMMYFUNCTION("""COMPUTED_VALUE"""),"Mobile")</f>
        <v>Mobile</v>
      </c>
      <c r="J277" s="6" t="str">
        <f>IFERROR(__xludf.DUMMYFUNCTION("""COMPUTED_VALUE"""),"Uk")</f>
        <v>Uk</v>
      </c>
      <c r="K277" s="6" t="str">
        <f>IFERROR(__xludf.DUMMYFUNCTION("""COMPUTED_VALUE"""),"Standard")</f>
        <v>Standard</v>
      </c>
      <c r="L277" s="6">
        <f>IFERROR(__xludf.DUMMYFUNCTION("""COMPUTED_VALUE"""),0.0)</f>
        <v>0</v>
      </c>
      <c r="M277" s="6" t="str">
        <f>IFERROR(__xludf.DUMMYFUNCTION("""COMPUTED_VALUE"""),"2023-12")</f>
        <v>2023-12</v>
      </c>
    </row>
    <row r="278">
      <c r="A278" s="6" t="str">
        <f>IFERROR(__xludf.DUMMYFUNCTION("""COMPUTED_VALUE"""),"b3cd5e52-eaf6-4027-9ee2-9ac760316c76")</f>
        <v>b3cd5e52-eaf6-4027-9ee2-9ac760316c76</v>
      </c>
      <c r="B278" s="6" t="str">
        <f>IFERROR(__xludf.DUMMYFUNCTION("""COMPUTED_VALUE"""),"794696be-2e94-411d-bb2d-d57ba94e0040")</f>
        <v>794696be-2e94-411d-bb2d-d57ba94e0040</v>
      </c>
      <c r="C278" s="7">
        <f>IFERROR(__xludf.DUMMYFUNCTION("""COMPUTED_VALUE"""),44948.0)</f>
        <v>44948</v>
      </c>
      <c r="D278" s="8">
        <f>IFERROR(__xludf.DUMMYFUNCTION("""COMPUTED_VALUE"""),8.6461887E7)</f>
        <v>86461887</v>
      </c>
      <c r="E278" s="6" t="str">
        <f>IFERROR(__xludf.DUMMYFUNCTION("""COMPUTED_VALUE"""),"SERIES")</f>
        <v>SERIES</v>
      </c>
      <c r="F278" s="6" t="str">
        <f>IFERROR(__xludf.DUMMYFUNCTION("""COMPUTED_VALUE"""),"Action")</f>
        <v>Action</v>
      </c>
      <c r="G278" s="6">
        <f>IFERROR(__xludf.DUMMYFUNCTION("""COMPUTED_VALUE"""),11.0)</f>
        <v>11</v>
      </c>
      <c r="H278" s="6">
        <f>IFERROR(__xludf.DUMMYFUNCTION("""COMPUTED_VALUE"""),0.0)</f>
        <v>0</v>
      </c>
      <c r="I278" s="6" t="str">
        <f>IFERROR(__xludf.DUMMYFUNCTION("""COMPUTED_VALUE"""),"Tablet")</f>
        <v>Tablet</v>
      </c>
      <c r="J278" s="6" t="str">
        <f>IFERROR(__xludf.DUMMYFUNCTION("""COMPUTED_VALUE"""),"Usa")</f>
        <v>Usa</v>
      </c>
      <c r="K278" s="6" t="str">
        <f>IFERROR(__xludf.DUMMYFUNCTION("""COMPUTED_VALUE"""),"Basic")</f>
        <v>Basic</v>
      </c>
      <c r="L278" s="6">
        <f>IFERROR(__xludf.DUMMYFUNCTION("""COMPUTED_VALUE"""),0.0)</f>
        <v>0</v>
      </c>
      <c r="M278" s="6" t="str">
        <f>IFERROR(__xludf.DUMMYFUNCTION("""COMPUTED_VALUE"""),"2023-01")</f>
        <v>2023-01</v>
      </c>
    </row>
    <row r="279">
      <c r="A279" s="6" t="str">
        <f>IFERROR(__xludf.DUMMYFUNCTION("""COMPUTED_VALUE"""),"32a1b109-f7d2-4379-99ef-0af51d1f9863")</f>
        <v>32a1b109-f7d2-4379-99ef-0af51d1f9863</v>
      </c>
      <c r="B279" s="6" t="str">
        <f>IFERROR(__xludf.DUMMYFUNCTION("""COMPUTED_VALUE"""),"79e73ca8-7972-4bce-8a0d-dc23df99f443")</f>
        <v>79e73ca8-7972-4bce-8a0d-dc23df99f443</v>
      </c>
      <c r="C279" s="7">
        <f>IFERROR(__xludf.DUMMYFUNCTION("""COMPUTED_VALUE"""),45218.0)</f>
        <v>45218</v>
      </c>
      <c r="D279" s="8">
        <f>IFERROR(__xludf.DUMMYFUNCTION("""COMPUTED_VALUE"""),7.8392861E7)</f>
        <v>78392861</v>
      </c>
      <c r="E279" s="6" t="str">
        <f>IFERROR(__xludf.DUMMYFUNCTION("""COMPUTED_VALUE"""),"SERIES")</f>
        <v>SERIES</v>
      </c>
      <c r="F279" s="6" t="str">
        <f>IFERROR(__xludf.DUMMYFUNCTION("""COMPUTED_VALUE"""),"Drama")</f>
        <v>Drama</v>
      </c>
      <c r="G279" s="6">
        <f>IFERROR(__xludf.DUMMYFUNCTION("""COMPUTED_VALUE"""),131.0)</f>
        <v>131</v>
      </c>
      <c r="H279" s="6">
        <f>IFERROR(__xludf.DUMMYFUNCTION("""COMPUTED_VALUE"""),0.0)</f>
        <v>0</v>
      </c>
      <c r="I279" s="6" t="str">
        <f>IFERROR(__xludf.DUMMYFUNCTION("""COMPUTED_VALUE"""),"Smart Tv")</f>
        <v>Smart Tv</v>
      </c>
      <c r="J279" s="6" t="str">
        <f>IFERROR(__xludf.DUMMYFUNCTION("""COMPUTED_VALUE"""),"Usa")</f>
        <v>Usa</v>
      </c>
      <c r="K279" s="6" t="str">
        <f>IFERROR(__xludf.DUMMYFUNCTION("""COMPUTED_VALUE"""),"Premium")</f>
        <v>Premium</v>
      </c>
      <c r="L279" s="6">
        <f>IFERROR(__xludf.DUMMYFUNCTION("""COMPUTED_VALUE"""),0.0)</f>
        <v>0</v>
      </c>
      <c r="M279" s="6" t="str">
        <f>IFERROR(__xludf.DUMMYFUNCTION("""COMPUTED_VALUE"""),"2023-10")</f>
        <v>2023-10</v>
      </c>
    </row>
    <row r="280">
      <c r="A280" s="6" t="str">
        <f>IFERROR(__xludf.DUMMYFUNCTION("""COMPUTED_VALUE"""),"de6d7350-7e1a-48bf-b3fa-712f390a08d3")</f>
        <v>de6d7350-7e1a-48bf-b3fa-712f390a08d3</v>
      </c>
      <c r="B280" s="6" t="str">
        <f>IFERROR(__xludf.DUMMYFUNCTION("""COMPUTED_VALUE"""),"7a042e34-130a-4345-9816-ee40ecb9f48a")</f>
        <v>7a042e34-130a-4345-9816-ee40ecb9f48a</v>
      </c>
      <c r="C280" s="7">
        <f>IFERROR(__xludf.DUMMYFUNCTION("""COMPUTED_VALUE"""),45277.0)</f>
        <v>45277</v>
      </c>
      <c r="D280" s="8">
        <f>IFERROR(__xludf.DUMMYFUNCTION("""COMPUTED_VALUE"""),4.3198283E7)</f>
        <v>43198283</v>
      </c>
      <c r="E280" s="6" t="str">
        <f>IFERROR(__xludf.DUMMYFUNCTION("""COMPUTED_VALUE"""),"SERIES")</f>
        <v>SERIES</v>
      </c>
      <c r="F280" s="6" t="str">
        <f>IFERROR(__xludf.DUMMYFUNCTION("""COMPUTED_VALUE"""),"Comedy")</f>
        <v>Comedy</v>
      </c>
      <c r="G280" s="6">
        <f>IFERROR(__xludf.DUMMYFUNCTION("""COMPUTED_VALUE"""),172.0)</f>
        <v>172</v>
      </c>
      <c r="H280" s="6">
        <f>IFERROR(__xludf.DUMMYFUNCTION("""COMPUTED_VALUE"""),1.0)</f>
        <v>1</v>
      </c>
      <c r="I280" s="6" t="str">
        <f>IFERROR(__xludf.DUMMYFUNCTION("""COMPUTED_VALUE"""),"Mobile")</f>
        <v>Mobile</v>
      </c>
      <c r="J280" s="6" t="str">
        <f>IFERROR(__xludf.DUMMYFUNCTION("""COMPUTED_VALUE"""),"Uk")</f>
        <v>Uk</v>
      </c>
      <c r="K280" s="6" t="str">
        <f>IFERROR(__xludf.DUMMYFUNCTION("""COMPUTED_VALUE"""),"Standard")</f>
        <v>Standard</v>
      </c>
      <c r="L280" s="6">
        <f>IFERROR(__xludf.DUMMYFUNCTION("""COMPUTED_VALUE"""),0.0)</f>
        <v>0</v>
      </c>
      <c r="M280" s="6" t="str">
        <f>IFERROR(__xludf.DUMMYFUNCTION("""COMPUTED_VALUE"""),"2023-12")</f>
        <v>2023-12</v>
      </c>
    </row>
    <row r="281">
      <c r="A281" s="6" t="str">
        <f>IFERROR(__xludf.DUMMYFUNCTION("""COMPUTED_VALUE"""),"b9196453-2aff-4792-b328-6a4807be6722")</f>
        <v>b9196453-2aff-4792-b328-6a4807be6722</v>
      </c>
      <c r="B281" s="6" t="str">
        <f>IFERROR(__xludf.DUMMYFUNCTION("""COMPUTED_VALUE"""),"7aa95e0c-880f-42fd-96a6-1a5d05516291")</f>
        <v>7aa95e0c-880f-42fd-96a6-1a5d05516291</v>
      </c>
      <c r="C281" s="7">
        <f>IFERROR(__xludf.DUMMYFUNCTION("""COMPUTED_VALUE"""),45125.0)</f>
        <v>45125</v>
      </c>
      <c r="D281" s="8">
        <f>IFERROR(__xludf.DUMMYFUNCTION("""COMPUTED_VALUE"""),1.4489488E7)</f>
        <v>14489488</v>
      </c>
      <c r="E281" s="6" t="str">
        <f>IFERROR(__xludf.DUMMYFUNCTION("""COMPUTED_VALUE"""),"MOVIE")</f>
        <v>MOVIE</v>
      </c>
      <c r="F281" s="6" t="str">
        <f>IFERROR(__xludf.DUMMYFUNCTION("""COMPUTED_VALUE"""),"Comedy")</f>
        <v>Comedy</v>
      </c>
      <c r="G281" s="6">
        <f>IFERROR(__xludf.DUMMYFUNCTION("""COMPUTED_VALUE"""),94.0)</f>
        <v>94</v>
      </c>
      <c r="H281" s="6">
        <f>IFERROR(__xludf.DUMMYFUNCTION("""COMPUTED_VALUE"""),1.0)</f>
        <v>1</v>
      </c>
      <c r="I281" s="6" t="str">
        <f>IFERROR(__xludf.DUMMYFUNCTION("""COMPUTED_VALUE"""),"Smart Tv")</f>
        <v>Smart Tv</v>
      </c>
      <c r="J281" s="6" t="str">
        <f>IFERROR(__xludf.DUMMYFUNCTION("""COMPUTED_VALUE"""),"France")</f>
        <v>France</v>
      </c>
      <c r="K281" s="6" t="str">
        <f>IFERROR(__xludf.DUMMYFUNCTION("""COMPUTED_VALUE"""),"Premium")</f>
        <v>Premium</v>
      </c>
      <c r="L281" s="6">
        <f>IFERROR(__xludf.DUMMYFUNCTION("""COMPUTED_VALUE"""),0.0)</f>
        <v>0</v>
      </c>
      <c r="M281" s="6" t="str">
        <f>IFERROR(__xludf.DUMMYFUNCTION("""COMPUTED_VALUE"""),"2023-07")</f>
        <v>2023-07</v>
      </c>
    </row>
    <row r="282">
      <c r="A282" s="6" t="str">
        <f>IFERROR(__xludf.DUMMYFUNCTION("""COMPUTED_VALUE"""),"788adb38-112e-4c8d-bfb3-c889901ad939")</f>
        <v>788adb38-112e-4c8d-bfb3-c889901ad939</v>
      </c>
      <c r="B282" s="6" t="str">
        <f>IFERROR(__xludf.DUMMYFUNCTION("""COMPUTED_VALUE"""),"7ab1a5e3-dcfe-4264-8184-d0a24bb774c0")</f>
        <v>7ab1a5e3-dcfe-4264-8184-d0a24bb774c0</v>
      </c>
      <c r="C282" s="7">
        <f>IFERROR(__xludf.DUMMYFUNCTION("""COMPUTED_VALUE"""),45262.0)</f>
        <v>45262</v>
      </c>
      <c r="D282" s="8">
        <f>IFERROR(__xludf.DUMMYFUNCTION("""COMPUTED_VALUE"""),2.8024262E7)</f>
        <v>28024262</v>
      </c>
      <c r="E282" s="6" t="str">
        <f>IFERROR(__xludf.DUMMYFUNCTION("""COMPUTED_VALUE"""),"DOCUMENTARY")</f>
        <v>DOCUMENTARY</v>
      </c>
      <c r="F282" s="6" t="str">
        <f>IFERROR(__xludf.DUMMYFUNCTION("""COMPUTED_VALUE"""),"Thriller")</f>
        <v>Thriller</v>
      </c>
      <c r="G282" s="6">
        <f>IFERROR(__xludf.DUMMYFUNCTION("""COMPUTED_VALUE"""),44.0)</f>
        <v>44</v>
      </c>
      <c r="H282" s="6">
        <f>IFERROR(__xludf.DUMMYFUNCTION("""COMPUTED_VALUE"""),1.0)</f>
        <v>1</v>
      </c>
      <c r="I282" s="6" t="str">
        <f>IFERROR(__xludf.DUMMYFUNCTION("""COMPUTED_VALUE"""),"Tablet")</f>
        <v>Tablet</v>
      </c>
      <c r="J282" s="6" t="str">
        <f>IFERROR(__xludf.DUMMYFUNCTION("""COMPUTED_VALUE"""),"Usa")</f>
        <v>Usa</v>
      </c>
      <c r="K282" s="6" t="str">
        <f>IFERROR(__xludf.DUMMYFUNCTION("""COMPUTED_VALUE"""),"Premium")</f>
        <v>Premium</v>
      </c>
      <c r="L282" s="6">
        <f>IFERROR(__xludf.DUMMYFUNCTION("""COMPUTED_VALUE"""),0.0)</f>
        <v>0</v>
      </c>
      <c r="M282" s="6" t="str">
        <f>IFERROR(__xludf.DUMMYFUNCTION("""COMPUTED_VALUE"""),"2023-12")</f>
        <v>2023-12</v>
      </c>
    </row>
    <row r="283">
      <c r="A283" s="6" t="str">
        <f>IFERROR(__xludf.DUMMYFUNCTION("""COMPUTED_VALUE"""),"45047444-2a61-48b2-84fa-18022c7b33ea")</f>
        <v>45047444-2a61-48b2-84fa-18022c7b33ea</v>
      </c>
      <c r="B283" s="6" t="str">
        <f>IFERROR(__xludf.DUMMYFUNCTION("""COMPUTED_VALUE"""),"7ac35a42-e508-4dee-a268-28e81eeaf6fa")</f>
        <v>7ac35a42-e508-4dee-a268-28e81eeaf6fa</v>
      </c>
      <c r="C283" s="7">
        <f>IFERROR(__xludf.DUMMYFUNCTION("""COMPUTED_VALUE"""),45220.0)</f>
        <v>45220</v>
      </c>
      <c r="D283" s="8">
        <f>IFERROR(__xludf.DUMMYFUNCTION("""COMPUTED_VALUE"""),5.0678082E7)</f>
        <v>50678082</v>
      </c>
      <c r="E283" s="6" t="str">
        <f>IFERROR(__xludf.DUMMYFUNCTION("""COMPUTED_VALUE"""),"MOVIE")</f>
        <v>MOVIE</v>
      </c>
      <c r="F283" s="6" t="str">
        <f>IFERROR(__xludf.DUMMYFUNCTION("""COMPUTED_VALUE"""),"Thriller")</f>
        <v>Thriller</v>
      </c>
      <c r="G283" s="6">
        <f>IFERROR(__xludf.DUMMYFUNCTION("""COMPUTED_VALUE"""),160.0)</f>
        <v>160</v>
      </c>
      <c r="H283" s="6">
        <f>IFERROR(__xludf.DUMMYFUNCTION("""COMPUTED_VALUE"""),1.0)</f>
        <v>1</v>
      </c>
      <c r="I283" s="6" t="str">
        <f>IFERROR(__xludf.DUMMYFUNCTION("""COMPUTED_VALUE"""),"Smart Tv")</f>
        <v>Smart Tv</v>
      </c>
      <c r="J283" s="6" t="str">
        <f>IFERROR(__xludf.DUMMYFUNCTION("""COMPUTED_VALUE"""),"India")</f>
        <v>India</v>
      </c>
      <c r="K283" s="6" t="str">
        <f>IFERROR(__xludf.DUMMYFUNCTION("""COMPUTED_VALUE"""),"Basic")</f>
        <v>Basic</v>
      </c>
      <c r="L283" s="6">
        <f>IFERROR(__xludf.DUMMYFUNCTION("""COMPUTED_VALUE"""),0.0)</f>
        <v>0</v>
      </c>
      <c r="M283" s="6" t="str">
        <f>IFERROR(__xludf.DUMMYFUNCTION("""COMPUTED_VALUE"""),"2023-10")</f>
        <v>2023-10</v>
      </c>
    </row>
    <row r="284">
      <c r="A284" s="6" t="str">
        <f>IFERROR(__xludf.DUMMYFUNCTION("""COMPUTED_VALUE"""),"95a219dd-a8ec-4c05-a5c5-868c211d73dd")</f>
        <v>95a219dd-a8ec-4c05-a5c5-868c211d73dd</v>
      </c>
      <c r="B284" s="6" t="str">
        <f>IFERROR(__xludf.DUMMYFUNCTION("""COMPUTED_VALUE"""),"7b262c4d-7ea5-437b-91df-cad84acca13d")</f>
        <v>7b262c4d-7ea5-437b-91df-cad84acca13d</v>
      </c>
      <c r="C284" s="7">
        <f>IFERROR(__xludf.DUMMYFUNCTION("""COMPUTED_VALUE"""),44928.0)</f>
        <v>44928</v>
      </c>
      <c r="D284" s="8">
        <f>IFERROR(__xludf.DUMMYFUNCTION("""COMPUTED_VALUE"""),1.9581439E7)</f>
        <v>19581439</v>
      </c>
      <c r="E284" s="6" t="str">
        <f>IFERROR(__xludf.DUMMYFUNCTION("""COMPUTED_VALUE"""),"SERIES")</f>
        <v>SERIES</v>
      </c>
      <c r="F284" s="6" t="str">
        <f>IFERROR(__xludf.DUMMYFUNCTION("""COMPUTED_VALUE"""),"Sci-Fi")</f>
        <v>Sci-Fi</v>
      </c>
      <c r="G284" s="6">
        <f>IFERROR(__xludf.DUMMYFUNCTION("""COMPUTED_VALUE"""),30.0)</f>
        <v>30</v>
      </c>
      <c r="H284" s="6">
        <f>IFERROR(__xludf.DUMMYFUNCTION("""COMPUTED_VALUE"""),1.0)</f>
        <v>1</v>
      </c>
      <c r="I284" s="6" t="str">
        <f>IFERROR(__xludf.DUMMYFUNCTION("""COMPUTED_VALUE"""),"Smart Tv")</f>
        <v>Smart Tv</v>
      </c>
      <c r="J284" s="6" t="str">
        <f>IFERROR(__xludf.DUMMYFUNCTION("""COMPUTED_VALUE"""),"Germany")</f>
        <v>Germany</v>
      </c>
      <c r="K284" s="6" t="str">
        <f>IFERROR(__xludf.DUMMYFUNCTION("""COMPUTED_VALUE"""),"Standard")</f>
        <v>Standard</v>
      </c>
      <c r="L284" s="6">
        <f>IFERROR(__xludf.DUMMYFUNCTION("""COMPUTED_VALUE"""),0.0)</f>
        <v>0</v>
      </c>
      <c r="M284" s="6" t="str">
        <f>IFERROR(__xludf.DUMMYFUNCTION("""COMPUTED_VALUE"""),"2023-01")</f>
        <v>2023-01</v>
      </c>
    </row>
    <row r="285">
      <c r="A285" s="6" t="str">
        <f>IFERROR(__xludf.DUMMYFUNCTION("""COMPUTED_VALUE"""),"8fe0cb1a-17bb-425f-9abb-2b4bbe99d695")</f>
        <v>8fe0cb1a-17bb-425f-9abb-2b4bbe99d695</v>
      </c>
      <c r="B285" s="6" t="str">
        <f>IFERROR(__xludf.DUMMYFUNCTION("""COMPUTED_VALUE"""),"7b279066-3d00-4932-930d-918ea1220027")</f>
        <v>7b279066-3d00-4932-930d-918ea1220027</v>
      </c>
      <c r="C285" s="7">
        <f>IFERROR(__xludf.DUMMYFUNCTION("""COMPUTED_VALUE"""),44933.0)</f>
        <v>44933</v>
      </c>
      <c r="D285" s="8">
        <f>IFERROR(__xludf.DUMMYFUNCTION("""COMPUTED_VALUE"""),9.1269416E7)</f>
        <v>91269416</v>
      </c>
      <c r="E285" s="6" t="str">
        <f>IFERROR(__xludf.DUMMYFUNCTION("""COMPUTED_VALUE"""),"DOCUMENTARY")</f>
        <v>DOCUMENTARY</v>
      </c>
      <c r="F285" s="6" t="str">
        <f>IFERROR(__xludf.DUMMYFUNCTION("""COMPUTED_VALUE"""),"Comedy")</f>
        <v>Comedy</v>
      </c>
      <c r="G285" s="6">
        <f>IFERROR(__xludf.DUMMYFUNCTION("""COMPUTED_VALUE"""),91.0)</f>
        <v>91</v>
      </c>
      <c r="H285" s="6">
        <f>IFERROR(__xludf.DUMMYFUNCTION("""COMPUTED_VALUE"""),1.0)</f>
        <v>1</v>
      </c>
      <c r="I285" s="6" t="str">
        <f>IFERROR(__xludf.DUMMYFUNCTION("""COMPUTED_VALUE"""),"Desktop")</f>
        <v>Desktop</v>
      </c>
      <c r="J285" s="6" t="str">
        <f>IFERROR(__xludf.DUMMYFUNCTION("""COMPUTED_VALUE"""),"Usa")</f>
        <v>Usa</v>
      </c>
      <c r="K285" s="6" t="str">
        <f>IFERROR(__xludf.DUMMYFUNCTION("""COMPUTED_VALUE"""),"Standard")</f>
        <v>Standard</v>
      </c>
      <c r="L285" s="6">
        <f>IFERROR(__xludf.DUMMYFUNCTION("""COMPUTED_VALUE"""),0.0)</f>
        <v>0</v>
      </c>
      <c r="M285" s="6" t="str">
        <f>IFERROR(__xludf.DUMMYFUNCTION("""COMPUTED_VALUE"""),"2023-01")</f>
        <v>2023-01</v>
      </c>
    </row>
    <row r="286">
      <c r="A286" s="6" t="str">
        <f>IFERROR(__xludf.DUMMYFUNCTION("""COMPUTED_VALUE"""),"c84cff1d-5956-4f02-982a-40428d6200ae")</f>
        <v>c84cff1d-5956-4f02-982a-40428d6200ae</v>
      </c>
      <c r="B286" s="6" t="str">
        <f>IFERROR(__xludf.DUMMYFUNCTION("""COMPUTED_VALUE"""),"7b3bac45-ba36-4d69-bf4a-f60847745377")</f>
        <v>7b3bac45-ba36-4d69-bf4a-f60847745377</v>
      </c>
      <c r="C286" s="7">
        <f>IFERROR(__xludf.DUMMYFUNCTION("""COMPUTED_VALUE"""),45120.0)</f>
        <v>45120</v>
      </c>
      <c r="D286" s="8">
        <f>IFERROR(__xludf.DUMMYFUNCTION("""COMPUTED_VALUE"""),6.3391114E7)</f>
        <v>63391114</v>
      </c>
      <c r="E286" s="6" t="str">
        <f>IFERROR(__xludf.DUMMYFUNCTION("""COMPUTED_VALUE"""),"SERIES")</f>
        <v>SERIES</v>
      </c>
      <c r="F286" s="6" t="str">
        <f>IFERROR(__xludf.DUMMYFUNCTION("""COMPUTED_VALUE"""),"Comedy")</f>
        <v>Comedy</v>
      </c>
      <c r="G286" s="6">
        <f>IFERROR(__xludf.DUMMYFUNCTION("""COMPUTED_VALUE"""),63.0)</f>
        <v>63</v>
      </c>
      <c r="H286" s="6">
        <f>IFERROR(__xludf.DUMMYFUNCTION("""COMPUTED_VALUE"""),1.0)</f>
        <v>1</v>
      </c>
      <c r="I286" s="6" t="str">
        <f>IFERROR(__xludf.DUMMYFUNCTION("""COMPUTED_VALUE"""),"Desktop")</f>
        <v>Desktop</v>
      </c>
      <c r="J286" s="6" t="str">
        <f>IFERROR(__xludf.DUMMYFUNCTION("""COMPUTED_VALUE"""),"Germany")</f>
        <v>Germany</v>
      </c>
      <c r="K286" s="6" t="str">
        <f>IFERROR(__xludf.DUMMYFUNCTION("""COMPUTED_VALUE"""),"Basic")</f>
        <v>Basic</v>
      </c>
      <c r="L286" s="6">
        <f>IFERROR(__xludf.DUMMYFUNCTION("""COMPUTED_VALUE"""),0.0)</f>
        <v>0</v>
      </c>
      <c r="M286" s="6" t="str">
        <f>IFERROR(__xludf.DUMMYFUNCTION("""COMPUTED_VALUE"""),"2023-07")</f>
        <v>2023-07</v>
      </c>
    </row>
    <row r="287">
      <c r="A287" s="6" t="str">
        <f>IFERROR(__xludf.DUMMYFUNCTION("""COMPUTED_VALUE"""),"78f7c9ae-57dc-46f2-b14b-9e5fc7ca5771")</f>
        <v>78f7c9ae-57dc-46f2-b14b-9e5fc7ca5771</v>
      </c>
      <c r="B287" s="6" t="str">
        <f>IFERROR(__xludf.DUMMYFUNCTION("""COMPUTED_VALUE"""),"7b556cb4-148e-4339-9deb-b4482def0dac")</f>
        <v>7b556cb4-148e-4339-9deb-b4482def0dac</v>
      </c>
      <c r="C287" s="7">
        <f>IFERROR(__xludf.DUMMYFUNCTION("""COMPUTED_VALUE"""),45207.0)</f>
        <v>45207</v>
      </c>
      <c r="D287" s="8">
        <f>IFERROR(__xludf.DUMMYFUNCTION("""COMPUTED_VALUE"""),2.0365547E7)</f>
        <v>20365547</v>
      </c>
      <c r="E287" s="6" t="str">
        <f>IFERROR(__xludf.DUMMYFUNCTION("""COMPUTED_VALUE"""),"MOVIE")</f>
        <v>MOVIE</v>
      </c>
      <c r="F287" s="6" t="str">
        <f>IFERROR(__xludf.DUMMYFUNCTION("""COMPUTED_VALUE"""),"Action")</f>
        <v>Action</v>
      </c>
      <c r="G287" s="6">
        <f>IFERROR(__xludf.DUMMYFUNCTION("""COMPUTED_VALUE"""),155.0)</f>
        <v>155</v>
      </c>
      <c r="H287" s="6">
        <f>IFERROR(__xludf.DUMMYFUNCTION("""COMPUTED_VALUE"""),1.0)</f>
        <v>1</v>
      </c>
      <c r="I287" s="6" t="str">
        <f>IFERROR(__xludf.DUMMYFUNCTION("""COMPUTED_VALUE"""),"Smart Tv")</f>
        <v>Smart Tv</v>
      </c>
      <c r="J287" s="6" t="str">
        <f>IFERROR(__xludf.DUMMYFUNCTION("""COMPUTED_VALUE"""),"Uk")</f>
        <v>Uk</v>
      </c>
      <c r="K287" s="6" t="str">
        <f>IFERROR(__xludf.DUMMYFUNCTION("""COMPUTED_VALUE"""),"Premium")</f>
        <v>Premium</v>
      </c>
      <c r="L287" s="6">
        <f>IFERROR(__xludf.DUMMYFUNCTION("""COMPUTED_VALUE"""),1.0)</f>
        <v>1</v>
      </c>
      <c r="M287" s="6" t="str">
        <f>IFERROR(__xludf.DUMMYFUNCTION("""COMPUTED_VALUE"""),"2023-10")</f>
        <v>2023-10</v>
      </c>
    </row>
    <row r="288">
      <c r="A288" s="6" t="str">
        <f>IFERROR(__xludf.DUMMYFUNCTION("""COMPUTED_VALUE"""),"d8958961-1d03-4632-a1ef-443569eafdb8")</f>
        <v>d8958961-1d03-4632-a1ef-443569eafdb8</v>
      </c>
      <c r="B288" s="6" t="str">
        <f>IFERROR(__xludf.DUMMYFUNCTION("""COMPUTED_VALUE"""),"7b9d738e-0ead-4bcc-bbd1-3f16de6e3451")</f>
        <v>7b9d738e-0ead-4bcc-bbd1-3f16de6e3451</v>
      </c>
      <c r="C288" s="7">
        <f>IFERROR(__xludf.DUMMYFUNCTION("""COMPUTED_VALUE"""),44989.0)</f>
        <v>44989</v>
      </c>
      <c r="D288" s="8">
        <f>IFERROR(__xludf.DUMMYFUNCTION("""COMPUTED_VALUE"""),9.0251535E7)</f>
        <v>90251535</v>
      </c>
      <c r="E288" s="6" t="str">
        <f>IFERROR(__xludf.DUMMYFUNCTION("""COMPUTED_VALUE"""),"SERIES")</f>
        <v>SERIES</v>
      </c>
      <c r="F288" s="6" t="str">
        <f>IFERROR(__xludf.DUMMYFUNCTION("""COMPUTED_VALUE"""),"Drama")</f>
        <v>Drama</v>
      </c>
      <c r="G288" s="6">
        <f>IFERROR(__xludf.DUMMYFUNCTION("""COMPUTED_VALUE"""),143.0)</f>
        <v>143</v>
      </c>
      <c r="H288" s="6">
        <f>IFERROR(__xludf.DUMMYFUNCTION("""COMPUTED_VALUE"""),1.0)</f>
        <v>1</v>
      </c>
      <c r="I288" s="6" t="str">
        <f>IFERROR(__xludf.DUMMYFUNCTION("""COMPUTED_VALUE"""),"Tablet")</f>
        <v>Tablet</v>
      </c>
      <c r="J288" s="6" t="str">
        <f>IFERROR(__xludf.DUMMYFUNCTION("""COMPUTED_VALUE"""),"France")</f>
        <v>France</v>
      </c>
      <c r="K288" s="6" t="str">
        <f>IFERROR(__xludf.DUMMYFUNCTION("""COMPUTED_VALUE"""),"Standard")</f>
        <v>Standard</v>
      </c>
      <c r="L288" s="6">
        <f>IFERROR(__xludf.DUMMYFUNCTION("""COMPUTED_VALUE"""),0.0)</f>
        <v>0</v>
      </c>
      <c r="M288" s="6" t="str">
        <f>IFERROR(__xludf.DUMMYFUNCTION("""COMPUTED_VALUE"""),"2023-03")</f>
        <v>2023-03</v>
      </c>
    </row>
    <row r="289">
      <c r="A289" s="6" t="str">
        <f>IFERROR(__xludf.DUMMYFUNCTION("""COMPUTED_VALUE"""),"53651805-dbdb-4409-a50c-b9751573cfa1")</f>
        <v>53651805-dbdb-4409-a50c-b9751573cfa1</v>
      </c>
      <c r="B289" s="6" t="str">
        <f>IFERROR(__xludf.DUMMYFUNCTION("""COMPUTED_VALUE"""),"7cc04700-d1f8-4f98-a5a0-cafec3876fb8")</f>
        <v>7cc04700-d1f8-4f98-a5a0-cafec3876fb8</v>
      </c>
      <c r="C289" s="7">
        <f>IFERROR(__xludf.DUMMYFUNCTION("""COMPUTED_VALUE"""),45232.0)</f>
        <v>45232</v>
      </c>
      <c r="D289" s="8">
        <f>IFERROR(__xludf.DUMMYFUNCTION("""COMPUTED_VALUE"""),3.0998162E7)</f>
        <v>30998162</v>
      </c>
      <c r="E289" s="6" t="str">
        <f>IFERROR(__xludf.DUMMYFUNCTION("""COMPUTED_VALUE"""),"MOVIE")</f>
        <v>MOVIE</v>
      </c>
      <c r="F289" s="6" t="str">
        <f>IFERROR(__xludf.DUMMYFUNCTION("""COMPUTED_VALUE"""),"Comedy")</f>
        <v>Comedy</v>
      </c>
      <c r="G289" s="6">
        <f>IFERROR(__xludf.DUMMYFUNCTION("""COMPUTED_VALUE"""),54.0)</f>
        <v>54</v>
      </c>
      <c r="H289" s="6">
        <f>IFERROR(__xludf.DUMMYFUNCTION("""COMPUTED_VALUE"""),1.0)</f>
        <v>1</v>
      </c>
      <c r="I289" s="6" t="str">
        <f>IFERROR(__xludf.DUMMYFUNCTION("""COMPUTED_VALUE"""),"Tablet")</f>
        <v>Tablet</v>
      </c>
      <c r="J289" s="6" t="str">
        <f>IFERROR(__xludf.DUMMYFUNCTION("""COMPUTED_VALUE"""),"Germany")</f>
        <v>Germany</v>
      </c>
      <c r="K289" s="6" t="str">
        <f>IFERROR(__xludf.DUMMYFUNCTION("""COMPUTED_VALUE"""),"Premium")</f>
        <v>Premium</v>
      </c>
      <c r="L289" s="6">
        <f>IFERROR(__xludf.DUMMYFUNCTION("""COMPUTED_VALUE"""),0.0)</f>
        <v>0</v>
      </c>
      <c r="M289" s="6" t="str">
        <f>IFERROR(__xludf.DUMMYFUNCTION("""COMPUTED_VALUE"""),"2023-11")</f>
        <v>2023-11</v>
      </c>
    </row>
    <row r="290">
      <c r="A290" s="6" t="str">
        <f>IFERROR(__xludf.DUMMYFUNCTION("""COMPUTED_VALUE"""),"9c0df09d-17e5-488d-b34b-65c6c4e59aea")</f>
        <v>9c0df09d-17e5-488d-b34b-65c6c4e59aea</v>
      </c>
      <c r="B290" s="6" t="str">
        <f>IFERROR(__xludf.DUMMYFUNCTION("""COMPUTED_VALUE"""),"7cc3aee3-c448-4572-bff9-3376ba79395d")</f>
        <v>7cc3aee3-c448-4572-bff9-3376ba79395d</v>
      </c>
      <c r="C290" s="7">
        <f>IFERROR(__xludf.DUMMYFUNCTION("""COMPUTED_VALUE"""),45002.0)</f>
        <v>45002</v>
      </c>
      <c r="D290" s="8">
        <f>IFERROR(__xludf.DUMMYFUNCTION("""COMPUTED_VALUE"""),6.8214012E7)</f>
        <v>68214012</v>
      </c>
      <c r="E290" s="6" t="str">
        <f>IFERROR(__xludf.DUMMYFUNCTION("""COMPUTED_VALUE"""),"MOVIE")</f>
        <v>MOVIE</v>
      </c>
      <c r="F290" s="6" t="str">
        <f>IFERROR(__xludf.DUMMYFUNCTION("""COMPUTED_VALUE"""),"Comedy")</f>
        <v>Comedy</v>
      </c>
      <c r="G290" s="6">
        <f>IFERROR(__xludf.DUMMYFUNCTION("""COMPUTED_VALUE"""),21.0)</f>
        <v>21</v>
      </c>
      <c r="H290" s="6">
        <f>IFERROR(__xludf.DUMMYFUNCTION("""COMPUTED_VALUE"""),1.0)</f>
        <v>1</v>
      </c>
      <c r="I290" s="6" t="str">
        <f>IFERROR(__xludf.DUMMYFUNCTION("""COMPUTED_VALUE"""),"Mobile")</f>
        <v>Mobile</v>
      </c>
      <c r="J290" s="6" t="str">
        <f>IFERROR(__xludf.DUMMYFUNCTION("""COMPUTED_VALUE"""),"Germany")</f>
        <v>Germany</v>
      </c>
      <c r="K290" s="6" t="str">
        <f>IFERROR(__xludf.DUMMYFUNCTION("""COMPUTED_VALUE"""),"Standard")</f>
        <v>Standard</v>
      </c>
      <c r="L290" s="6">
        <f>IFERROR(__xludf.DUMMYFUNCTION("""COMPUTED_VALUE"""),0.0)</f>
        <v>0</v>
      </c>
      <c r="M290" s="6" t="str">
        <f>IFERROR(__xludf.DUMMYFUNCTION("""COMPUTED_VALUE"""),"2023-03")</f>
        <v>2023-03</v>
      </c>
    </row>
    <row r="291">
      <c r="A291" s="6" t="str">
        <f>IFERROR(__xludf.DUMMYFUNCTION("""COMPUTED_VALUE"""),"5398f3e6-9340-46ba-b108-21bd4a20dad7")</f>
        <v>5398f3e6-9340-46ba-b108-21bd4a20dad7</v>
      </c>
      <c r="B291" s="6" t="str">
        <f>IFERROR(__xludf.DUMMYFUNCTION("""COMPUTED_VALUE"""),"7cf0885f-1284-4c45-9496-e9ed0dbfa617")</f>
        <v>7cf0885f-1284-4c45-9496-e9ed0dbfa617</v>
      </c>
      <c r="C291" s="7">
        <f>IFERROR(__xludf.DUMMYFUNCTION("""COMPUTED_VALUE"""),45269.0)</f>
        <v>45269</v>
      </c>
      <c r="D291" s="8">
        <f>IFERROR(__xludf.DUMMYFUNCTION("""COMPUTED_VALUE"""),3.9361998E7)</f>
        <v>39361998</v>
      </c>
      <c r="E291" s="6" t="str">
        <f>IFERROR(__xludf.DUMMYFUNCTION("""COMPUTED_VALUE"""),"DOCUMENTARY")</f>
        <v>DOCUMENTARY</v>
      </c>
      <c r="F291" s="6" t="str">
        <f>IFERROR(__xludf.DUMMYFUNCTION("""COMPUTED_VALUE"""),"Thriller")</f>
        <v>Thriller</v>
      </c>
      <c r="G291" s="6">
        <f>IFERROR(__xludf.DUMMYFUNCTION("""COMPUTED_VALUE"""),96.0)</f>
        <v>96</v>
      </c>
      <c r="H291" s="6">
        <f>IFERROR(__xludf.DUMMYFUNCTION("""COMPUTED_VALUE"""),0.0)</f>
        <v>0</v>
      </c>
      <c r="I291" s="6" t="str">
        <f>IFERROR(__xludf.DUMMYFUNCTION("""COMPUTED_VALUE"""),"Tablet")</f>
        <v>Tablet</v>
      </c>
      <c r="J291" s="6" t="str">
        <f>IFERROR(__xludf.DUMMYFUNCTION("""COMPUTED_VALUE"""),"Usa")</f>
        <v>Usa</v>
      </c>
      <c r="K291" s="6" t="str">
        <f>IFERROR(__xludf.DUMMYFUNCTION("""COMPUTED_VALUE"""),"Standard")</f>
        <v>Standard</v>
      </c>
      <c r="L291" s="6">
        <f>IFERROR(__xludf.DUMMYFUNCTION("""COMPUTED_VALUE"""),0.0)</f>
        <v>0</v>
      </c>
      <c r="M291" s="6" t="str">
        <f>IFERROR(__xludf.DUMMYFUNCTION("""COMPUTED_VALUE"""),"2023-12")</f>
        <v>2023-12</v>
      </c>
    </row>
    <row r="292">
      <c r="A292" s="6" t="str">
        <f>IFERROR(__xludf.DUMMYFUNCTION("""COMPUTED_VALUE"""),"4278b8db-900c-4efd-a0bd-2721d0d67780")</f>
        <v>4278b8db-900c-4efd-a0bd-2721d0d67780</v>
      </c>
      <c r="B292" s="6" t="str">
        <f>IFERROR(__xludf.DUMMYFUNCTION("""COMPUTED_VALUE"""),"7d4e5a20-47d2-4aba-8d16-422e94db2613")</f>
        <v>7d4e5a20-47d2-4aba-8d16-422e94db2613</v>
      </c>
      <c r="C292" s="7">
        <f>IFERROR(__xludf.DUMMYFUNCTION("""COMPUTED_VALUE"""),44942.0)</f>
        <v>44942</v>
      </c>
      <c r="D292" s="8">
        <f>IFERROR(__xludf.DUMMYFUNCTION("""COMPUTED_VALUE"""),9494398.0)</f>
        <v>9494398</v>
      </c>
      <c r="E292" s="6" t="str">
        <f>IFERROR(__xludf.DUMMYFUNCTION("""COMPUTED_VALUE"""),"SERIES")</f>
        <v>SERIES</v>
      </c>
      <c r="F292" s="6" t="str">
        <f>IFERROR(__xludf.DUMMYFUNCTION("""COMPUTED_VALUE"""),"Comedy")</f>
        <v>Comedy</v>
      </c>
      <c r="G292" s="6">
        <f>IFERROR(__xludf.DUMMYFUNCTION("""COMPUTED_VALUE"""),75.0)</f>
        <v>75</v>
      </c>
      <c r="H292" s="6">
        <f>IFERROR(__xludf.DUMMYFUNCTION("""COMPUTED_VALUE"""),0.0)</f>
        <v>0</v>
      </c>
      <c r="I292" s="6" t="str">
        <f>IFERROR(__xludf.DUMMYFUNCTION("""COMPUTED_VALUE"""),"Mobile")</f>
        <v>Mobile</v>
      </c>
      <c r="J292" s="6" t="str">
        <f>IFERROR(__xludf.DUMMYFUNCTION("""COMPUTED_VALUE"""),"Usa")</f>
        <v>Usa</v>
      </c>
      <c r="K292" s="6" t="str">
        <f>IFERROR(__xludf.DUMMYFUNCTION("""COMPUTED_VALUE"""),"Standard")</f>
        <v>Standard</v>
      </c>
      <c r="L292" s="6">
        <f>IFERROR(__xludf.DUMMYFUNCTION("""COMPUTED_VALUE"""),0.0)</f>
        <v>0</v>
      </c>
      <c r="M292" s="6" t="str">
        <f>IFERROR(__xludf.DUMMYFUNCTION("""COMPUTED_VALUE"""),"2023-01")</f>
        <v>2023-01</v>
      </c>
    </row>
    <row r="293">
      <c r="A293" s="6" t="str">
        <f>IFERROR(__xludf.DUMMYFUNCTION("""COMPUTED_VALUE"""),"5a2b8021-8a0f-4093-bcfe-9b4d2a31ca24")</f>
        <v>5a2b8021-8a0f-4093-bcfe-9b4d2a31ca24</v>
      </c>
      <c r="B293" s="6" t="str">
        <f>IFERROR(__xludf.DUMMYFUNCTION("""COMPUTED_VALUE"""),"7de90e52-0688-4f43-a119-ccd845ad3311")</f>
        <v>7de90e52-0688-4f43-a119-ccd845ad3311</v>
      </c>
      <c r="C293" s="7">
        <f>IFERROR(__xludf.DUMMYFUNCTION("""COMPUTED_VALUE"""),44930.0)</f>
        <v>44930</v>
      </c>
      <c r="D293" s="8">
        <f>IFERROR(__xludf.DUMMYFUNCTION("""COMPUTED_VALUE"""),3.9420947E7)</f>
        <v>39420947</v>
      </c>
      <c r="E293" s="6" t="str">
        <f>IFERROR(__xludf.DUMMYFUNCTION("""COMPUTED_VALUE"""),"DOCUMENTARY")</f>
        <v>DOCUMENTARY</v>
      </c>
      <c r="F293" s="6" t="str">
        <f>IFERROR(__xludf.DUMMYFUNCTION("""COMPUTED_VALUE"""),"Action")</f>
        <v>Action</v>
      </c>
      <c r="G293" s="6">
        <f>IFERROR(__xludf.DUMMYFUNCTION("""COMPUTED_VALUE"""),75.0)</f>
        <v>75</v>
      </c>
      <c r="H293" s="6">
        <f>IFERROR(__xludf.DUMMYFUNCTION("""COMPUTED_VALUE"""),0.0)</f>
        <v>0</v>
      </c>
      <c r="I293" s="6" t="str">
        <f>IFERROR(__xludf.DUMMYFUNCTION("""COMPUTED_VALUE"""),"Desktop")</f>
        <v>Desktop</v>
      </c>
      <c r="J293" s="6" t="str">
        <f>IFERROR(__xludf.DUMMYFUNCTION("""COMPUTED_VALUE"""),"France")</f>
        <v>France</v>
      </c>
      <c r="K293" s="6" t="str">
        <f>IFERROR(__xludf.DUMMYFUNCTION("""COMPUTED_VALUE"""),"Basic")</f>
        <v>Basic</v>
      </c>
      <c r="L293" s="6">
        <f>IFERROR(__xludf.DUMMYFUNCTION("""COMPUTED_VALUE"""),0.0)</f>
        <v>0</v>
      </c>
      <c r="M293" s="6" t="str">
        <f>IFERROR(__xludf.DUMMYFUNCTION("""COMPUTED_VALUE"""),"2023-01")</f>
        <v>2023-01</v>
      </c>
    </row>
    <row r="294">
      <c r="A294" s="6" t="str">
        <f>IFERROR(__xludf.DUMMYFUNCTION("""COMPUTED_VALUE"""),"b71ee27c-e595-468f-8a4d-d54b46828f04")</f>
        <v>b71ee27c-e595-468f-8a4d-d54b46828f04</v>
      </c>
      <c r="B294" s="6" t="str">
        <f>IFERROR(__xludf.DUMMYFUNCTION("""COMPUTED_VALUE"""),"7e78f595-3c62-4604-9dc9-6d0d13930152")</f>
        <v>7e78f595-3c62-4604-9dc9-6d0d13930152</v>
      </c>
      <c r="C294" s="7">
        <f>IFERROR(__xludf.DUMMYFUNCTION("""COMPUTED_VALUE"""),45211.0)</f>
        <v>45211</v>
      </c>
      <c r="D294" s="8">
        <f>IFERROR(__xludf.DUMMYFUNCTION("""COMPUTED_VALUE"""),6968304.0)</f>
        <v>6968304</v>
      </c>
      <c r="E294" s="6" t="str">
        <f>IFERROR(__xludf.DUMMYFUNCTION("""COMPUTED_VALUE"""),"DOCUMENTARY")</f>
        <v>DOCUMENTARY</v>
      </c>
      <c r="F294" s="6" t="str">
        <f>IFERROR(__xludf.DUMMYFUNCTION("""COMPUTED_VALUE"""),"Thriller")</f>
        <v>Thriller</v>
      </c>
      <c r="G294" s="6">
        <f>IFERROR(__xludf.DUMMYFUNCTION("""COMPUTED_VALUE"""),175.0)</f>
        <v>175</v>
      </c>
      <c r="H294" s="6">
        <f>IFERROR(__xludf.DUMMYFUNCTION("""COMPUTED_VALUE"""),1.0)</f>
        <v>1</v>
      </c>
      <c r="I294" s="6" t="str">
        <f>IFERROR(__xludf.DUMMYFUNCTION("""COMPUTED_VALUE"""),"Tablet")</f>
        <v>Tablet</v>
      </c>
      <c r="J294" s="6" t="str">
        <f>IFERROR(__xludf.DUMMYFUNCTION("""COMPUTED_VALUE"""),"France")</f>
        <v>France</v>
      </c>
      <c r="K294" s="6" t="str">
        <f>IFERROR(__xludf.DUMMYFUNCTION("""COMPUTED_VALUE"""),"Standard")</f>
        <v>Standard</v>
      </c>
      <c r="L294" s="6">
        <f>IFERROR(__xludf.DUMMYFUNCTION("""COMPUTED_VALUE"""),0.0)</f>
        <v>0</v>
      </c>
      <c r="M294" s="6" t="str">
        <f>IFERROR(__xludf.DUMMYFUNCTION("""COMPUTED_VALUE"""),"2023-10")</f>
        <v>2023-10</v>
      </c>
    </row>
    <row r="295">
      <c r="A295" s="6" t="str">
        <f>IFERROR(__xludf.DUMMYFUNCTION("""COMPUTED_VALUE"""),"5b698ec7-9fa2-4586-b6df-bf6d1c209f98")</f>
        <v>5b698ec7-9fa2-4586-b6df-bf6d1c209f98</v>
      </c>
      <c r="B295" s="6" t="str">
        <f>IFERROR(__xludf.DUMMYFUNCTION("""COMPUTED_VALUE"""),"7ef90dea-7ec3-46ec-86b7-03eb6f500df1")</f>
        <v>7ef90dea-7ec3-46ec-86b7-03eb6f500df1</v>
      </c>
      <c r="C295" s="7">
        <f>IFERROR(__xludf.DUMMYFUNCTION("""COMPUTED_VALUE"""),45263.0)</f>
        <v>45263</v>
      </c>
      <c r="D295" s="8">
        <f>IFERROR(__xludf.DUMMYFUNCTION("""COMPUTED_VALUE"""),2.0679941E7)</f>
        <v>20679941</v>
      </c>
      <c r="E295" s="6" t="str">
        <f>IFERROR(__xludf.DUMMYFUNCTION("""COMPUTED_VALUE"""),"SERIES")</f>
        <v>SERIES</v>
      </c>
      <c r="F295" s="6" t="str">
        <f>IFERROR(__xludf.DUMMYFUNCTION("""COMPUTED_VALUE"""),"Thriller")</f>
        <v>Thriller</v>
      </c>
      <c r="G295" s="6">
        <f>IFERROR(__xludf.DUMMYFUNCTION("""COMPUTED_VALUE"""),15.0)</f>
        <v>15</v>
      </c>
      <c r="H295" s="6">
        <f>IFERROR(__xludf.DUMMYFUNCTION("""COMPUTED_VALUE"""),0.0)</f>
        <v>0</v>
      </c>
      <c r="I295" s="6" t="str">
        <f>IFERROR(__xludf.DUMMYFUNCTION("""COMPUTED_VALUE"""),"Desktop")</f>
        <v>Desktop</v>
      </c>
      <c r="J295" s="6" t="str">
        <f>IFERROR(__xludf.DUMMYFUNCTION("""COMPUTED_VALUE"""),"Usa")</f>
        <v>Usa</v>
      </c>
      <c r="K295" s="6" t="str">
        <f>IFERROR(__xludf.DUMMYFUNCTION("""COMPUTED_VALUE"""),"Basic")</f>
        <v>Basic</v>
      </c>
      <c r="L295" s="6">
        <f>IFERROR(__xludf.DUMMYFUNCTION("""COMPUTED_VALUE"""),0.0)</f>
        <v>0</v>
      </c>
      <c r="M295" s="6" t="str">
        <f>IFERROR(__xludf.DUMMYFUNCTION("""COMPUTED_VALUE"""),"2023-12")</f>
        <v>2023-12</v>
      </c>
    </row>
    <row r="296">
      <c r="A296" s="6" t="str">
        <f>IFERROR(__xludf.DUMMYFUNCTION("""COMPUTED_VALUE"""),"e52443a5-eea9-4a27-bd9e-08fcbe41ea56")</f>
        <v>e52443a5-eea9-4a27-bd9e-08fcbe41ea56</v>
      </c>
      <c r="B296" s="6" t="str">
        <f>IFERROR(__xludf.DUMMYFUNCTION("""COMPUTED_VALUE"""),"7fc46c69-ea06-43e9-9cde-a03154cc9ef2")</f>
        <v>7fc46c69-ea06-43e9-9cde-a03154cc9ef2</v>
      </c>
      <c r="C296" s="7">
        <f>IFERROR(__xludf.DUMMYFUNCTION("""COMPUTED_VALUE"""),45223.0)</f>
        <v>45223</v>
      </c>
      <c r="D296" s="8">
        <f>IFERROR(__xludf.DUMMYFUNCTION("""COMPUTED_VALUE"""),3.5776758E7)</f>
        <v>35776758</v>
      </c>
      <c r="E296" s="6" t="str">
        <f>IFERROR(__xludf.DUMMYFUNCTION("""COMPUTED_VALUE"""),"MOVIE")</f>
        <v>MOVIE</v>
      </c>
      <c r="F296" s="6" t="str">
        <f>IFERROR(__xludf.DUMMYFUNCTION("""COMPUTED_VALUE"""),"Sci-Fi")</f>
        <v>Sci-Fi</v>
      </c>
      <c r="G296" s="6">
        <f>IFERROR(__xludf.DUMMYFUNCTION("""COMPUTED_VALUE"""),88.0)</f>
        <v>88</v>
      </c>
      <c r="H296" s="6">
        <f>IFERROR(__xludf.DUMMYFUNCTION("""COMPUTED_VALUE"""),0.0)</f>
        <v>0</v>
      </c>
      <c r="I296" s="6" t="str">
        <f>IFERROR(__xludf.DUMMYFUNCTION("""COMPUTED_VALUE"""),"Mobile")</f>
        <v>Mobile</v>
      </c>
      <c r="J296" s="6" t="str">
        <f>IFERROR(__xludf.DUMMYFUNCTION("""COMPUTED_VALUE"""),"Uk")</f>
        <v>Uk</v>
      </c>
      <c r="K296" s="6" t="str">
        <f>IFERROR(__xludf.DUMMYFUNCTION("""COMPUTED_VALUE"""),"Basic")</f>
        <v>Basic</v>
      </c>
      <c r="L296" s="6">
        <f>IFERROR(__xludf.DUMMYFUNCTION("""COMPUTED_VALUE"""),0.0)</f>
        <v>0</v>
      </c>
      <c r="M296" s="6" t="str">
        <f>IFERROR(__xludf.DUMMYFUNCTION("""COMPUTED_VALUE"""),"2023-10")</f>
        <v>2023-10</v>
      </c>
    </row>
    <row r="297">
      <c r="A297" s="6" t="str">
        <f>IFERROR(__xludf.DUMMYFUNCTION("""COMPUTED_VALUE"""),"b55b6aff-bf32-48e1-b573-7a481804ab11")</f>
        <v>b55b6aff-bf32-48e1-b573-7a481804ab11</v>
      </c>
      <c r="B297" s="6" t="str">
        <f>IFERROR(__xludf.DUMMYFUNCTION("""COMPUTED_VALUE"""),"80137073-7949-42a2-8a6e-15267192b7fc")</f>
        <v>80137073-7949-42a2-8a6e-15267192b7fc</v>
      </c>
      <c r="C297" s="7">
        <f>IFERROR(__xludf.DUMMYFUNCTION("""COMPUTED_VALUE"""),45190.0)</f>
        <v>45190</v>
      </c>
      <c r="D297" s="8">
        <f>IFERROR(__xludf.DUMMYFUNCTION("""COMPUTED_VALUE"""),7.7010292E7)</f>
        <v>77010292</v>
      </c>
      <c r="E297" s="6" t="str">
        <f>IFERROR(__xludf.DUMMYFUNCTION("""COMPUTED_VALUE"""),"SERIES")</f>
        <v>SERIES</v>
      </c>
      <c r="F297" s="6" t="str">
        <f>IFERROR(__xludf.DUMMYFUNCTION("""COMPUTED_VALUE"""),"Comedy")</f>
        <v>Comedy</v>
      </c>
      <c r="G297" s="6">
        <f>IFERROR(__xludf.DUMMYFUNCTION("""COMPUTED_VALUE"""),177.0)</f>
        <v>177</v>
      </c>
      <c r="H297" s="6">
        <f>IFERROR(__xludf.DUMMYFUNCTION("""COMPUTED_VALUE"""),0.0)</f>
        <v>0</v>
      </c>
      <c r="I297" s="6" t="str">
        <f>IFERROR(__xludf.DUMMYFUNCTION("""COMPUTED_VALUE"""),"Tablet")</f>
        <v>Tablet</v>
      </c>
      <c r="J297" s="6" t="str">
        <f>IFERROR(__xludf.DUMMYFUNCTION("""COMPUTED_VALUE"""),"France")</f>
        <v>France</v>
      </c>
      <c r="K297" s="6" t="str">
        <f>IFERROR(__xludf.DUMMYFUNCTION("""COMPUTED_VALUE"""),"Premium")</f>
        <v>Premium</v>
      </c>
      <c r="L297" s="6">
        <f>IFERROR(__xludf.DUMMYFUNCTION("""COMPUTED_VALUE"""),0.0)</f>
        <v>0</v>
      </c>
      <c r="M297" s="6" t="str">
        <f>IFERROR(__xludf.DUMMYFUNCTION("""COMPUTED_VALUE"""),"2023-09")</f>
        <v>2023-09</v>
      </c>
    </row>
    <row r="298">
      <c r="A298" s="6" t="str">
        <f>IFERROR(__xludf.DUMMYFUNCTION("""COMPUTED_VALUE"""),"5fa70396-7671-4ac7-b786-41eb927df9dd")</f>
        <v>5fa70396-7671-4ac7-b786-41eb927df9dd</v>
      </c>
      <c r="B298" s="6" t="str">
        <f>IFERROR(__xludf.DUMMYFUNCTION("""COMPUTED_VALUE"""),"80439a67-7873-4c81-843d-17e52f0e3937")</f>
        <v>80439a67-7873-4c81-843d-17e52f0e3937</v>
      </c>
      <c r="C298" s="7">
        <f>IFERROR(__xludf.DUMMYFUNCTION("""COMPUTED_VALUE"""),45275.0)</f>
        <v>45275</v>
      </c>
      <c r="D298" s="8">
        <f>IFERROR(__xludf.DUMMYFUNCTION("""COMPUTED_VALUE"""),5.7327785E7)</f>
        <v>57327785</v>
      </c>
      <c r="E298" s="6" t="str">
        <f>IFERROR(__xludf.DUMMYFUNCTION("""COMPUTED_VALUE"""),"DOCUMENTARY")</f>
        <v>DOCUMENTARY</v>
      </c>
      <c r="F298" s="6" t="str">
        <f>IFERROR(__xludf.DUMMYFUNCTION("""COMPUTED_VALUE"""),"Thriller")</f>
        <v>Thriller</v>
      </c>
      <c r="G298" s="6">
        <f>IFERROR(__xludf.DUMMYFUNCTION("""COMPUTED_VALUE"""),11.0)</f>
        <v>11</v>
      </c>
      <c r="H298" s="6">
        <f>IFERROR(__xludf.DUMMYFUNCTION("""COMPUTED_VALUE"""),1.0)</f>
        <v>1</v>
      </c>
      <c r="I298" s="6" t="str">
        <f>IFERROR(__xludf.DUMMYFUNCTION("""COMPUTED_VALUE"""),"Smart Tv")</f>
        <v>Smart Tv</v>
      </c>
      <c r="J298" s="6" t="str">
        <f>IFERROR(__xludf.DUMMYFUNCTION("""COMPUTED_VALUE"""),"France")</f>
        <v>France</v>
      </c>
      <c r="K298" s="6" t="str">
        <f>IFERROR(__xludf.DUMMYFUNCTION("""COMPUTED_VALUE"""),"Basic")</f>
        <v>Basic</v>
      </c>
      <c r="L298" s="6">
        <f>IFERROR(__xludf.DUMMYFUNCTION("""COMPUTED_VALUE"""),0.0)</f>
        <v>0</v>
      </c>
      <c r="M298" s="6" t="str">
        <f>IFERROR(__xludf.DUMMYFUNCTION("""COMPUTED_VALUE"""),"2023-12")</f>
        <v>2023-12</v>
      </c>
    </row>
    <row r="299">
      <c r="A299" s="6" t="str">
        <f>IFERROR(__xludf.DUMMYFUNCTION("""COMPUTED_VALUE"""),"03aaa702-9dd4-4e6a-8d97-38992ed1c953")</f>
        <v>03aaa702-9dd4-4e6a-8d97-38992ed1c953</v>
      </c>
      <c r="B299" s="6" t="str">
        <f>IFERROR(__xludf.DUMMYFUNCTION("""COMPUTED_VALUE"""),"8067240d-1cc6-4610-83b5-cdd7b367f684")</f>
        <v>8067240d-1cc6-4610-83b5-cdd7b367f684</v>
      </c>
      <c r="C299" s="7">
        <f>IFERROR(__xludf.DUMMYFUNCTION("""COMPUTED_VALUE"""),45194.0)</f>
        <v>45194</v>
      </c>
      <c r="D299" s="8">
        <f>IFERROR(__xludf.DUMMYFUNCTION("""COMPUTED_VALUE"""),4.7312166E7)</f>
        <v>47312166</v>
      </c>
      <c r="E299" s="6" t="str">
        <f>IFERROR(__xludf.DUMMYFUNCTION("""COMPUTED_VALUE"""),"MOVIE")</f>
        <v>MOVIE</v>
      </c>
      <c r="F299" s="6" t="str">
        <f>IFERROR(__xludf.DUMMYFUNCTION("""COMPUTED_VALUE"""),"Action")</f>
        <v>Action</v>
      </c>
      <c r="G299" s="6">
        <f>IFERROR(__xludf.DUMMYFUNCTION("""COMPUTED_VALUE"""),162.0)</f>
        <v>162</v>
      </c>
      <c r="H299" s="6">
        <f>IFERROR(__xludf.DUMMYFUNCTION("""COMPUTED_VALUE"""),1.0)</f>
        <v>1</v>
      </c>
      <c r="I299" s="6" t="str">
        <f>IFERROR(__xludf.DUMMYFUNCTION("""COMPUTED_VALUE"""),"Smart Tv")</f>
        <v>Smart Tv</v>
      </c>
      <c r="J299" s="6" t="str">
        <f>IFERROR(__xludf.DUMMYFUNCTION("""COMPUTED_VALUE"""),"Germany")</f>
        <v>Germany</v>
      </c>
      <c r="K299" s="6" t="str">
        <f>IFERROR(__xludf.DUMMYFUNCTION("""COMPUTED_VALUE"""),"Premium")</f>
        <v>Premium</v>
      </c>
      <c r="L299" s="6">
        <f>IFERROR(__xludf.DUMMYFUNCTION("""COMPUTED_VALUE"""),0.0)</f>
        <v>0</v>
      </c>
      <c r="M299" s="6" t="str">
        <f>IFERROR(__xludf.DUMMYFUNCTION("""COMPUTED_VALUE"""),"2023-09")</f>
        <v>2023-09</v>
      </c>
    </row>
    <row r="300">
      <c r="A300" s="6" t="str">
        <f>IFERROR(__xludf.DUMMYFUNCTION("""COMPUTED_VALUE"""),"89f49ff6-8b85-4239-ae7e-3352b3f2adeb")</f>
        <v>89f49ff6-8b85-4239-ae7e-3352b3f2adeb</v>
      </c>
      <c r="B300" s="6" t="str">
        <f>IFERROR(__xludf.DUMMYFUNCTION("""COMPUTED_VALUE"""),"8174332e-8325-40be-8326-64d85e8b4311")</f>
        <v>8174332e-8325-40be-8326-64d85e8b4311</v>
      </c>
      <c r="C300" s="7">
        <f>IFERROR(__xludf.DUMMYFUNCTION("""COMPUTED_VALUE"""),45027.0)</f>
        <v>45027</v>
      </c>
      <c r="D300" s="8">
        <f>IFERROR(__xludf.DUMMYFUNCTION("""COMPUTED_VALUE"""),4.8987363E7)</f>
        <v>48987363</v>
      </c>
      <c r="E300" s="6" t="str">
        <f>IFERROR(__xludf.DUMMYFUNCTION("""COMPUTED_VALUE"""),"DOCUMENTARY")</f>
        <v>DOCUMENTARY</v>
      </c>
      <c r="F300" s="6" t="str">
        <f>IFERROR(__xludf.DUMMYFUNCTION("""COMPUTED_VALUE"""),"Action")</f>
        <v>Action</v>
      </c>
      <c r="G300" s="6">
        <f>IFERROR(__xludf.DUMMYFUNCTION("""COMPUTED_VALUE"""),141.0)</f>
        <v>141</v>
      </c>
      <c r="H300" s="6">
        <f>IFERROR(__xludf.DUMMYFUNCTION("""COMPUTED_VALUE"""),1.0)</f>
        <v>1</v>
      </c>
      <c r="I300" s="6" t="str">
        <f>IFERROR(__xludf.DUMMYFUNCTION("""COMPUTED_VALUE"""),"Mobile")</f>
        <v>Mobile</v>
      </c>
      <c r="J300" s="6" t="str">
        <f>IFERROR(__xludf.DUMMYFUNCTION("""COMPUTED_VALUE"""),"Germany")</f>
        <v>Germany</v>
      </c>
      <c r="K300" s="6" t="str">
        <f>IFERROR(__xludf.DUMMYFUNCTION("""COMPUTED_VALUE"""),"Standard")</f>
        <v>Standard</v>
      </c>
      <c r="L300" s="6">
        <f>IFERROR(__xludf.DUMMYFUNCTION("""COMPUTED_VALUE"""),0.0)</f>
        <v>0</v>
      </c>
      <c r="M300" s="6" t="str">
        <f>IFERROR(__xludf.DUMMYFUNCTION("""COMPUTED_VALUE"""),"2023-04")</f>
        <v>2023-04</v>
      </c>
    </row>
    <row r="301">
      <c r="A301" s="6" t="str">
        <f>IFERROR(__xludf.DUMMYFUNCTION("""COMPUTED_VALUE"""),"0d816d4a-fd6b-4ceb-9aca-7acd33b87dd4")</f>
        <v>0d816d4a-fd6b-4ceb-9aca-7acd33b87dd4</v>
      </c>
      <c r="B301" s="6" t="str">
        <f>IFERROR(__xludf.DUMMYFUNCTION("""COMPUTED_VALUE"""),"8250239c-7c84-41d8-b86f-d5d5fdb3242a")</f>
        <v>8250239c-7c84-41d8-b86f-d5d5fdb3242a</v>
      </c>
      <c r="C301" s="7">
        <f>IFERROR(__xludf.DUMMYFUNCTION("""COMPUTED_VALUE"""),45050.0)</f>
        <v>45050</v>
      </c>
      <c r="D301" s="8">
        <f>IFERROR(__xludf.DUMMYFUNCTION("""COMPUTED_VALUE"""),5124015.0)</f>
        <v>5124015</v>
      </c>
      <c r="E301" s="6" t="str">
        <f>IFERROR(__xludf.DUMMYFUNCTION("""COMPUTED_VALUE"""),"MOVIE")</f>
        <v>MOVIE</v>
      </c>
      <c r="F301" s="6" t="str">
        <f>IFERROR(__xludf.DUMMYFUNCTION("""COMPUTED_VALUE"""),"Sci-Fi")</f>
        <v>Sci-Fi</v>
      </c>
      <c r="G301" s="6">
        <f>IFERROR(__xludf.DUMMYFUNCTION("""COMPUTED_VALUE"""),18.0)</f>
        <v>18</v>
      </c>
      <c r="H301" s="6">
        <f>IFERROR(__xludf.DUMMYFUNCTION("""COMPUTED_VALUE"""),1.0)</f>
        <v>1</v>
      </c>
      <c r="I301" s="6" t="str">
        <f>IFERROR(__xludf.DUMMYFUNCTION("""COMPUTED_VALUE"""),"Tablet")</f>
        <v>Tablet</v>
      </c>
      <c r="J301" s="6" t="str">
        <f>IFERROR(__xludf.DUMMYFUNCTION("""COMPUTED_VALUE"""),"Uk")</f>
        <v>Uk</v>
      </c>
      <c r="K301" s="6" t="str">
        <f>IFERROR(__xludf.DUMMYFUNCTION("""COMPUTED_VALUE"""),"Premium")</f>
        <v>Premium</v>
      </c>
      <c r="L301" s="6">
        <f>IFERROR(__xludf.DUMMYFUNCTION("""COMPUTED_VALUE"""),0.0)</f>
        <v>0</v>
      </c>
      <c r="M301" s="6" t="str">
        <f>IFERROR(__xludf.DUMMYFUNCTION("""COMPUTED_VALUE"""),"2023-05")</f>
        <v>2023-05</v>
      </c>
    </row>
    <row r="302">
      <c r="A302" s="6" t="str">
        <f>IFERROR(__xludf.DUMMYFUNCTION("""COMPUTED_VALUE"""),"bd0f8012-f3cf-4c33-a361-64d8bb8871b8")</f>
        <v>bd0f8012-f3cf-4c33-a361-64d8bb8871b8</v>
      </c>
      <c r="B302" s="6" t="str">
        <f>IFERROR(__xludf.DUMMYFUNCTION("""COMPUTED_VALUE"""),"828fe61e-42a5-41ea-827a-dce99ae4f644")</f>
        <v>828fe61e-42a5-41ea-827a-dce99ae4f644</v>
      </c>
      <c r="C302" s="7">
        <f>IFERROR(__xludf.DUMMYFUNCTION("""COMPUTED_VALUE"""),44965.0)</f>
        <v>44965</v>
      </c>
      <c r="D302" s="8">
        <f>IFERROR(__xludf.DUMMYFUNCTION("""COMPUTED_VALUE"""),8.7177435E7)</f>
        <v>87177435</v>
      </c>
      <c r="E302" s="6" t="str">
        <f>IFERROR(__xludf.DUMMYFUNCTION("""COMPUTED_VALUE"""),"SERIES")</f>
        <v>SERIES</v>
      </c>
      <c r="F302" s="6" t="str">
        <f>IFERROR(__xludf.DUMMYFUNCTION("""COMPUTED_VALUE"""),"Sci-Fi")</f>
        <v>Sci-Fi</v>
      </c>
      <c r="G302" s="6">
        <f>IFERROR(__xludf.DUMMYFUNCTION("""COMPUTED_VALUE"""),159.0)</f>
        <v>159</v>
      </c>
      <c r="H302" s="6">
        <f>IFERROR(__xludf.DUMMYFUNCTION("""COMPUTED_VALUE"""),1.0)</f>
        <v>1</v>
      </c>
      <c r="I302" s="6" t="str">
        <f>IFERROR(__xludf.DUMMYFUNCTION("""COMPUTED_VALUE"""),"Smart Tv")</f>
        <v>Smart Tv</v>
      </c>
      <c r="J302" s="6" t="str">
        <f>IFERROR(__xludf.DUMMYFUNCTION("""COMPUTED_VALUE"""),"Germany")</f>
        <v>Germany</v>
      </c>
      <c r="K302" s="6" t="str">
        <f>IFERROR(__xludf.DUMMYFUNCTION("""COMPUTED_VALUE"""),"Basic")</f>
        <v>Basic</v>
      </c>
      <c r="L302" s="6">
        <f>IFERROR(__xludf.DUMMYFUNCTION("""COMPUTED_VALUE"""),1.0)</f>
        <v>1</v>
      </c>
      <c r="M302" s="6" t="str">
        <f>IFERROR(__xludf.DUMMYFUNCTION("""COMPUTED_VALUE"""),"2023-02")</f>
        <v>2023-02</v>
      </c>
    </row>
    <row r="303">
      <c r="A303" s="6" t="str">
        <f>IFERROR(__xludf.DUMMYFUNCTION("""COMPUTED_VALUE"""),"35b19400-0546-49ff-a1b3-dc0ec5bf954d")</f>
        <v>35b19400-0546-49ff-a1b3-dc0ec5bf954d</v>
      </c>
      <c r="B303" s="6" t="str">
        <f>IFERROR(__xludf.DUMMYFUNCTION("""COMPUTED_VALUE"""),"8395bd69-89a8-4c0d-acfe-54b3293ac00d")</f>
        <v>8395bd69-89a8-4c0d-acfe-54b3293ac00d</v>
      </c>
      <c r="C303" s="7">
        <f>IFERROR(__xludf.DUMMYFUNCTION("""COMPUTED_VALUE"""),45257.0)</f>
        <v>45257</v>
      </c>
      <c r="D303" s="8">
        <f>IFERROR(__xludf.DUMMYFUNCTION("""COMPUTED_VALUE"""),3.0275874E7)</f>
        <v>30275874</v>
      </c>
      <c r="E303" s="6" t="str">
        <f>IFERROR(__xludf.DUMMYFUNCTION("""COMPUTED_VALUE"""),"DOCUMENTARY")</f>
        <v>DOCUMENTARY</v>
      </c>
      <c r="F303" s="6" t="str">
        <f>IFERROR(__xludf.DUMMYFUNCTION("""COMPUTED_VALUE"""),"Thriller")</f>
        <v>Thriller</v>
      </c>
      <c r="G303" s="6">
        <f>IFERROR(__xludf.DUMMYFUNCTION("""COMPUTED_VALUE"""),124.0)</f>
        <v>124</v>
      </c>
      <c r="H303" s="6">
        <f>IFERROR(__xludf.DUMMYFUNCTION("""COMPUTED_VALUE"""),0.0)</f>
        <v>0</v>
      </c>
      <c r="I303" s="6" t="str">
        <f>IFERROR(__xludf.DUMMYFUNCTION("""COMPUTED_VALUE"""),"Desktop")</f>
        <v>Desktop</v>
      </c>
      <c r="J303" s="6" t="str">
        <f>IFERROR(__xludf.DUMMYFUNCTION("""COMPUTED_VALUE"""),"Germany")</f>
        <v>Germany</v>
      </c>
      <c r="K303" s="6" t="str">
        <f>IFERROR(__xludf.DUMMYFUNCTION("""COMPUTED_VALUE"""),"Standard")</f>
        <v>Standard</v>
      </c>
      <c r="L303" s="6">
        <f>IFERROR(__xludf.DUMMYFUNCTION("""COMPUTED_VALUE"""),0.0)</f>
        <v>0</v>
      </c>
      <c r="M303" s="6" t="str">
        <f>IFERROR(__xludf.DUMMYFUNCTION("""COMPUTED_VALUE"""),"2023-11")</f>
        <v>2023-11</v>
      </c>
    </row>
    <row r="304">
      <c r="A304" s="6" t="str">
        <f>IFERROR(__xludf.DUMMYFUNCTION("""COMPUTED_VALUE"""),"e510cf7f-f80c-450e-b8d8-240377aa80d0")</f>
        <v>e510cf7f-f80c-450e-b8d8-240377aa80d0</v>
      </c>
      <c r="B304" s="6" t="str">
        <f>IFERROR(__xludf.DUMMYFUNCTION("""COMPUTED_VALUE"""),"84785232-810b-4c77-bf2b-84fa6cdbb48c")</f>
        <v>84785232-810b-4c77-bf2b-84fa6cdbb48c</v>
      </c>
      <c r="C304" s="7">
        <f>IFERROR(__xludf.DUMMYFUNCTION("""COMPUTED_VALUE"""),45166.0)</f>
        <v>45166</v>
      </c>
      <c r="D304" s="8">
        <f>IFERROR(__xludf.DUMMYFUNCTION("""COMPUTED_VALUE"""),3.8300936E7)</f>
        <v>38300936</v>
      </c>
      <c r="E304" s="6" t="str">
        <f>IFERROR(__xludf.DUMMYFUNCTION("""COMPUTED_VALUE"""),"SERIES")</f>
        <v>SERIES</v>
      </c>
      <c r="F304" s="6" t="str">
        <f>IFERROR(__xludf.DUMMYFUNCTION("""COMPUTED_VALUE"""),"Drama")</f>
        <v>Drama</v>
      </c>
      <c r="G304" s="6">
        <f>IFERROR(__xludf.DUMMYFUNCTION("""COMPUTED_VALUE"""),176.0)</f>
        <v>176</v>
      </c>
      <c r="H304" s="6">
        <f>IFERROR(__xludf.DUMMYFUNCTION("""COMPUTED_VALUE"""),0.0)</f>
        <v>0</v>
      </c>
      <c r="I304" s="6" t="str">
        <f>IFERROR(__xludf.DUMMYFUNCTION("""COMPUTED_VALUE"""),"Desktop")</f>
        <v>Desktop</v>
      </c>
      <c r="J304" s="6" t="str">
        <f>IFERROR(__xludf.DUMMYFUNCTION("""COMPUTED_VALUE"""),"France")</f>
        <v>France</v>
      </c>
      <c r="K304" s="6" t="str">
        <f>IFERROR(__xludf.DUMMYFUNCTION("""COMPUTED_VALUE"""),"Basic")</f>
        <v>Basic</v>
      </c>
      <c r="L304" s="6">
        <f>IFERROR(__xludf.DUMMYFUNCTION("""COMPUTED_VALUE"""),0.0)</f>
        <v>0</v>
      </c>
      <c r="M304" s="6" t="str">
        <f>IFERROR(__xludf.DUMMYFUNCTION("""COMPUTED_VALUE"""),"2023-08")</f>
        <v>2023-08</v>
      </c>
    </row>
    <row r="305">
      <c r="A305" s="6" t="str">
        <f>IFERROR(__xludf.DUMMYFUNCTION("""COMPUTED_VALUE"""),"70a79039-285f-41cc-a562-1df7502d4aa4")</f>
        <v>70a79039-285f-41cc-a562-1df7502d4aa4</v>
      </c>
      <c r="B305" s="6" t="str">
        <f>IFERROR(__xludf.DUMMYFUNCTION("""COMPUTED_VALUE"""),"848721a9-7460-4e94-bc25-8fb9fecce64d")</f>
        <v>848721a9-7460-4e94-bc25-8fb9fecce64d</v>
      </c>
      <c r="C305" s="7">
        <f>IFERROR(__xludf.DUMMYFUNCTION("""COMPUTED_VALUE"""),45249.0)</f>
        <v>45249</v>
      </c>
      <c r="D305" s="8">
        <f>IFERROR(__xludf.DUMMYFUNCTION("""COMPUTED_VALUE"""),5.1786427E7)</f>
        <v>51786427</v>
      </c>
      <c r="E305" s="6" t="str">
        <f>IFERROR(__xludf.DUMMYFUNCTION("""COMPUTED_VALUE"""),"MOVIE")</f>
        <v>MOVIE</v>
      </c>
      <c r="F305" s="6" t="str">
        <f>IFERROR(__xludf.DUMMYFUNCTION("""COMPUTED_VALUE"""),"Thriller")</f>
        <v>Thriller</v>
      </c>
      <c r="G305" s="6">
        <f>IFERROR(__xludf.DUMMYFUNCTION("""COMPUTED_VALUE"""),156.0)</f>
        <v>156</v>
      </c>
      <c r="H305" s="6">
        <f>IFERROR(__xludf.DUMMYFUNCTION("""COMPUTED_VALUE"""),1.0)</f>
        <v>1</v>
      </c>
      <c r="I305" s="6" t="str">
        <f>IFERROR(__xludf.DUMMYFUNCTION("""COMPUTED_VALUE"""),"Mobile")</f>
        <v>Mobile</v>
      </c>
      <c r="J305" s="6" t="str">
        <f>IFERROR(__xludf.DUMMYFUNCTION("""COMPUTED_VALUE"""),"Germany")</f>
        <v>Germany</v>
      </c>
      <c r="K305" s="6" t="str">
        <f>IFERROR(__xludf.DUMMYFUNCTION("""COMPUTED_VALUE"""),"Basic")</f>
        <v>Basic</v>
      </c>
      <c r="L305" s="6">
        <f>IFERROR(__xludf.DUMMYFUNCTION("""COMPUTED_VALUE"""),0.0)</f>
        <v>0</v>
      </c>
      <c r="M305" s="6" t="str">
        <f>IFERROR(__xludf.DUMMYFUNCTION("""COMPUTED_VALUE"""),"2023-11")</f>
        <v>2023-11</v>
      </c>
    </row>
    <row r="306">
      <c r="A306" s="6" t="str">
        <f>IFERROR(__xludf.DUMMYFUNCTION("""COMPUTED_VALUE"""),"1fa7d303-6632-47fc-bb8e-42b0551926d7")</f>
        <v>1fa7d303-6632-47fc-bb8e-42b0551926d7</v>
      </c>
      <c r="B306" s="6" t="str">
        <f>IFERROR(__xludf.DUMMYFUNCTION("""COMPUTED_VALUE"""),"84d4d4ec-af8b-4874-b1c9-025768572ecb")</f>
        <v>84d4d4ec-af8b-4874-b1c9-025768572ecb</v>
      </c>
      <c r="C306" s="7">
        <f>IFERROR(__xludf.DUMMYFUNCTION("""COMPUTED_VALUE"""),45239.0)</f>
        <v>45239</v>
      </c>
      <c r="D306" s="8">
        <f>IFERROR(__xludf.DUMMYFUNCTION("""COMPUTED_VALUE"""),2.3747715E7)</f>
        <v>23747715</v>
      </c>
      <c r="E306" s="6" t="str">
        <f>IFERROR(__xludf.DUMMYFUNCTION("""COMPUTED_VALUE"""),"DOCUMENTARY")</f>
        <v>DOCUMENTARY</v>
      </c>
      <c r="F306" s="6" t="str">
        <f>IFERROR(__xludf.DUMMYFUNCTION("""COMPUTED_VALUE"""),"Drama")</f>
        <v>Drama</v>
      </c>
      <c r="G306" s="6">
        <f>IFERROR(__xludf.DUMMYFUNCTION("""COMPUTED_VALUE"""),171.0)</f>
        <v>171</v>
      </c>
      <c r="H306" s="6">
        <f>IFERROR(__xludf.DUMMYFUNCTION("""COMPUTED_VALUE"""),0.0)</f>
        <v>0</v>
      </c>
      <c r="I306" s="6" t="str">
        <f>IFERROR(__xludf.DUMMYFUNCTION("""COMPUTED_VALUE"""),"Mobile")</f>
        <v>Mobile</v>
      </c>
      <c r="J306" s="6" t="str">
        <f>IFERROR(__xludf.DUMMYFUNCTION("""COMPUTED_VALUE"""),"Usa")</f>
        <v>Usa</v>
      </c>
      <c r="K306" s="6" t="str">
        <f>IFERROR(__xludf.DUMMYFUNCTION("""COMPUTED_VALUE"""),"Basic")</f>
        <v>Basic</v>
      </c>
      <c r="L306" s="6">
        <f>IFERROR(__xludf.DUMMYFUNCTION("""COMPUTED_VALUE"""),0.0)</f>
        <v>0</v>
      </c>
      <c r="M306" s="6" t="str">
        <f>IFERROR(__xludf.DUMMYFUNCTION("""COMPUTED_VALUE"""),"2023-11")</f>
        <v>2023-11</v>
      </c>
    </row>
    <row r="307">
      <c r="A307" s="6" t="str">
        <f>IFERROR(__xludf.DUMMYFUNCTION("""COMPUTED_VALUE"""),"f43562cc-89f2-4d3c-82ea-dc4d90b4583f")</f>
        <v>f43562cc-89f2-4d3c-82ea-dc4d90b4583f</v>
      </c>
      <c r="B307" s="6" t="str">
        <f>IFERROR(__xludf.DUMMYFUNCTION("""COMPUTED_VALUE"""),"86917eca-2434-486a-ae38-2822b8fba5c0")</f>
        <v>86917eca-2434-486a-ae38-2822b8fba5c0</v>
      </c>
      <c r="C307" s="7">
        <f>IFERROR(__xludf.DUMMYFUNCTION("""COMPUTED_VALUE"""),45220.0)</f>
        <v>45220</v>
      </c>
      <c r="D307" s="8">
        <f>IFERROR(__xludf.DUMMYFUNCTION("""COMPUTED_VALUE"""),3.4542781E7)</f>
        <v>34542781</v>
      </c>
      <c r="E307" s="6" t="str">
        <f>IFERROR(__xludf.DUMMYFUNCTION("""COMPUTED_VALUE"""),"MOVIE")</f>
        <v>MOVIE</v>
      </c>
      <c r="F307" s="6" t="str">
        <f>IFERROR(__xludf.DUMMYFUNCTION("""COMPUTED_VALUE"""),"Action")</f>
        <v>Action</v>
      </c>
      <c r="G307" s="6">
        <f>IFERROR(__xludf.DUMMYFUNCTION("""COMPUTED_VALUE"""),64.0)</f>
        <v>64</v>
      </c>
      <c r="H307" s="6">
        <f>IFERROR(__xludf.DUMMYFUNCTION("""COMPUTED_VALUE"""),0.0)</f>
        <v>0</v>
      </c>
      <c r="I307" s="6" t="str">
        <f>IFERROR(__xludf.DUMMYFUNCTION("""COMPUTED_VALUE"""),"Tablet")</f>
        <v>Tablet</v>
      </c>
      <c r="J307" s="6" t="str">
        <f>IFERROR(__xludf.DUMMYFUNCTION("""COMPUTED_VALUE"""),"Uk")</f>
        <v>Uk</v>
      </c>
      <c r="K307" s="6" t="str">
        <f>IFERROR(__xludf.DUMMYFUNCTION("""COMPUTED_VALUE"""),"Standard")</f>
        <v>Standard</v>
      </c>
      <c r="L307" s="6">
        <f>IFERROR(__xludf.DUMMYFUNCTION("""COMPUTED_VALUE"""),0.0)</f>
        <v>0</v>
      </c>
      <c r="M307" s="6" t="str">
        <f>IFERROR(__xludf.DUMMYFUNCTION("""COMPUTED_VALUE"""),"2023-10")</f>
        <v>2023-10</v>
      </c>
    </row>
    <row r="308">
      <c r="A308" s="6" t="str">
        <f>IFERROR(__xludf.DUMMYFUNCTION("""COMPUTED_VALUE"""),"d5bccf5e-b9d2-4ef5-8fd2-9271b440d4eb")</f>
        <v>d5bccf5e-b9d2-4ef5-8fd2-9271b440d4eb</v>
      </c>
      <c r="B308" s="6" t="str">
        <f>IFERROR(__xludf.DUMMYFUNCTION("""COMPUTED_VALUE"""),"8929c172-91ac-4d85-9b61-be5b6d867b33")</f>
        <v>8929c172-91ac-4d85-9b61-be5b6d867b33</v>
      </c>
      <c r="C308" s="7">
        <f>IFERROR(__xludf.DUMMYFUNCTION("""COMPUTED_VALUE"""),45225.0)</f>
        <v>45225</v>
      </c>
      <c r="D308" s="8">
        <f>IFERROR(__xludf.DUMMYFUNCTION("""COMPUTED_VALUE"""),4.1450093E7)</f>
        <v>41450093</v>
      </c>
      <c r="E308" s="6" t="str">
        <f>IFERROR(__xludf.DUMMYFUNCTION("""COMPUTED_VALUE"""),"DOCUMENTARY")</f>
        <v>DOCUMENTARY</v>
      </c>
      <c r="F308" s="6" t="str">
        <f>IFERROR(__xludf.DUMMYFUNCTION("""COMPUTED_VALUE"""),"Action")</f>
        <v>Action</v>
      </c>
      <c r="G308" s="6">
        <f>IFERROR(__xludf.DUMMYFUNCTION("""COMPUTED_VALUE"""),169.0)</f>
        <v>169</v>
      </c>
      <c r="H308" s="6">
        <f>IFERROR(__xludf.DUMMYFUNCTION("""COMPUTED_VALUE"""),0.0)</f>
        <v>0</v>
      </c>
      <c r="I308" s="6" t="str">
        <f>IFERROR(__xludf.DUMMYFUNCTION("""COMPUTED_VALUE"""),"Tablet")</f>
        <v>Tablet</v>
      </c>
      <c r="J308" s="6" t="str">
        <f>IFERROR(__xludf.DUMMYFUNCTION("""COMPUTED_VALUE"""),"India")</f>
        <v>India</v>
      </c>
      <c r="K308" s="6" t="str">
        <f>IFERROR(__xludf.DUMMYFUNCTION("""COMPUTED_VALUE"""),"Basic")</f>
        <v>Basic</v>
      </c>
      <c r="L308" s="6">
        <f>IFERROR(__xludf.DUMMYFUNCTION("""COMPUTED_VALUE"""),0.0)</f>
        <v>0</v>
      </c>
      <c r="M308" s="6" t="str">
        <f>IFERROR(__xludf.DUMMYFUNCTION("""COMPUTED_VALUE"""),"2023-10")</f>
        <v>2023-10</v>
      </c>
    </row>
    <row r="309">
      <c r="A309" s="6" t="str">
        <f>IFERROR(__xludf.DUMMYFUNCTION("""COMPUTED_VALUE"""),"c143ddd7-e251-4a17-aad7-1e4fb9b4082e")</f>
        <v>c143ddd7-e251-4a17-aad7-1e4fb9b4082e</v>
      </c>
      <c r="B309" s="6" t="str">
        <f>IFERROR(__xludf.DUMMYFUNCTION("""COMPUTED_VALUE"""),"8953d9bb-a566-4aa9-ba36-2ac0d6f4cebc")</f>
        <v>8953d9bb-a566-4aa9-ba36-2ac0d6f4cebc</v>
      </c>
      <c r="C309" s="7">
        <f>IFERROR(__xludf.DUMMYFUNCTION("""COMPUTED_VALUE"""),45284.0)</f>
        <v>45284</v>
      </c>
      <c r="D309" s="8">
        <f>IFERROR(__xludf.DUMMYFUNCTION("""COMPUTED_VALUE"""),4.5895418E7)</f>
        <v>45895418</v>
      </c>
      <c r="E309" s="6" t="str">
        <f>IFERROR(__xludf.DUMMYFUNCTION("""COMPUTED_VALUE"""),"MOVIE")</f>
        <v>MOVIE</v>
      </c>
      <c r="F309" s="6" t="str">
        <f>IFERROR(__xludf.DUMMYFUNCTION("""COMPUTED_VALUE"""),"Sci-Fi")</f>
        <v>Sci-Fi</v>
      </c>
      <c r="G309" s="6">
        <f>IFERROR(__xludf.DUMMYFUNCTION("""COMPUTED_VALUE"""),32.0)</f>
        <v>32</v>
      </c>
      <c r="H309" s="6">
        <f>IFERROR(__xludf.DUMMYFUNCTION("""COMPUTED_VALUE"""),0.0)</f>
        <v>0</v>
      </c>
      <c r="I309" s="6" t="str">
        <f>IFERROR(__xludf.DUMMYFUNCTION("""COMPUTED_VALUE"""),"Desktop")</f>
        <v>Desktop</v>
      </c>
      <c r="J309" s="6" t="str">
        <f>IFERROR(__xludf.DUMMYFUNCTION("""COMPUTED_VALUE"""),"Uk")</f>
        <v>Uk</v>
      </c>
      <c r="K309" s="6" t="str">
        <f>IFERROR(__xludf.DUMMYFUNCTION("""COMPUTED_VALUE"""),"Basic")</f>
        <v>Basic</v>
      </c>
      <c r="L309" s="6">
        <f>IFERROR(__xludf.DUMMYFUNCTION("""COMPUTED_VALUE"""),1.0)</f>
        <v>1</v>
      </c>
      <c r="M309" s="6" t="str">
        <f>IFERROR(__xludf.DUMMYFUNCTION("""COMPUTED_VALUE"""),"2023-12")</f>
        <v>2023-12</v>
      </c>
    </row>
    <row r="310">
      <c r="A310" s="6" t="str">
        <f>IFERROR(__xludf.DUMMYFUNCTION("""COMPUTED_VALUE"""),"91eb585b-43fd-43e1-8f54-77ed048f01ff")</f>
        <v>91eb585b-43fd-43e1-8f54-77ed048f01ff</v>
      </c>
      <c r="B310" s="6" t="str">
        <f>IFERROR(__xludf.DUMMYFUNCTION("""COMPUTED_VALUE"""),"8a601636-bbdb-441b-9d02-9d7ed876ba3e")</f>
        <v>8a601636-bbdb-441b-9d02-9d7ed876ba3e</v>
      </c>
      <c r="C310" s="7">
        <f>IFERROR(__xludf.DUMMYFUNCTION("""COMPUTED_VALUE"""),45272.0)</f>
        <v>45272</v>
      </c>
      <c r="D310" s="8">
        <f>IFERROR(__xludf.DUMMYFUNCTION("""COMPUTED_VALUE"""),5.9022282E7)</f>
        <v>59022282</v>
      </c>
      <c r="E310" s="6" t="str">
        <f>IFERROR(__xludf.DUMMYFUNCTION("""COMPUTED_VALUE"""),"MOVIE")</f>
        <v>MOVIE</v>
      </c>
      <c r="F310" s="6" t="str">
        <f>IFERROR(__xludf.DUMMYFUNCTION("""COMPUTED_VALUE"""),"Action")</f>
        <v>Action</v>
      </c>
      <c r="G310" s="6">
        <f>IFERROR(__xludf.DUMMYFUNCTION("""COMPUTED_VALUE"""),158.0)</f>
        <v>158</v>
      </c>
      <c r="H310" s="6">
        <f>IFERROR(__xludf.DUMMYFUNCTION("""COMPUTED_VALUE"""),1.0)</f>
        <v>1</v>
      </c>
      <c r="I310" s="6" t="str">
        <f>IFERROR(__xludf.DUMMYFUNCTION("""COMPUTED_VALUE"""),"Tablet")</f>
        <v>Tablet</v>
      </c>
      <c r="J310" s="6" t="str">
        <f>IFERROR(__xludf.DUMMYFUNCTION("""COMPUTED_VALUE"""),"Germany")</f>
        <v>Germany</v>
      </c>
      <c r="K310" s="6" t="str">
        <f>IFERROR(__xludf.DUMMYFUNCTION("""COMPUTED_VALUE"""),"Basic")</f>
        <v>Basic</v>
      </c>
      <c r="L310" s="6">
        <f>IFERROR(__xludf.DUMMYFUNCTION("""COMPUTED_VALUE"""),0.0)</f>
        <v>0</v>
      </c>
      <c r="M310" s="6" t="str">
        <f>IFERROR(__xludf.DUMMYFUNCTION("""COMPUTED_VALUE"""),"2023-12")</f>
        <v>2023-12</v>
      </c>
    </row>
    <row r="311">
      <c r="A311" s="6" t="str">
        <f>IFERROR(__xludf.DUMMYFUNCTION("""COMPUTED_VALUE"""),"077e3249-9935-448d-a99f-469eb723b681")</f>
        <v>077e3249-9935-448d-a99f-469eb723b681</v>
      </c>
      <c r="B311" s="6" t="str">
        <f>IFERROR(__xludf.DUMMYFUNCTION("""COMPUTED_VALUE"""),"8aad7603-07af-4378-9ae7-75f3884dd410")</f>
        <v>8aad7603-07af-4378-9ae7-75f3884dd410</v>
      </c>
      <c r="C311" s="7">
        <f>IFERROR(__xludf.DUMMYFUNCTION("""COMPUTED_VALUE"""),45149.0)</f>
        <v>45149</v>
      </c>
      <c r="D311" s="8">
        <f>IFERROR(__xludf.DUMMYFUNCTION("""COMPUTED_VALUE"""),7.6114212E7)</f>
        <v>76114212</v>
      </c>
      <c r="E311" s="6" t="str">
        <f>IFERROR(__xludf.DUMMYFUNCTION("""COMPUTED_VALUE"""),"SERIES")</f>
        <v>SERIES</v>
      </c>
      <c r="F311" s="6" t="str">
        <f>IFERROR(__xludf.DUMMYFUNCTION("""COMPUTED_VALUE"""),"Sci-Fi")</f>
        <v>Sci-Fi</v>
      </c>
      <c r="G311" s="6">
        <f>IFERROR(__xludf.DUMMYFUNCTION("""COMPUTED_VALUE"""),39.0)</f>
        <v>39</v>
      </c>
      <c r="H311" s="6">
        <f>IFERROR(__xludf.DUMMYFUNCTION("""COMPUTED_VALUE"""),1.0)</f>
        <v>1</v>
      </c>
      <c r="I311" s="6" t="str">
        <f>IFERROR(__xludf.DUMMYFUNCTION("""COMPUTED_VALUE"""),"Smart Tv")</f>
        <v>Smart Tv</v>
      </c>
      <c r="J311" s="6" t="str">
        <f>IFERROR(__xludf.DUMMYFUNCTION("""COMPUTED_VALUE"""),"France")</f>
        <v>France</v>
      </c>
      <c r="K311" s="6" t="str">
        <f>IFERROR(__xludf.DUMMYFUNCTION("""COMPUTED_VALUE"""),"Premium")</f>
        <v>Premium</v>
      </c>
      <c r="L311" s="6">
        <f>IFERROR(__xludf.DUMMYFUNCTION("""COMPUTED_VALUE"""),0.0)</f>
        <v>0</v>
      </c>
      <c r="M311" s="6" t="str">
        <f>IFERROR(__xludf.DUMMYFUNCTION("""COMPUTED_VALUE"""),"2023-08")</f>
        <v>2023-08</v>
      </c>
    </row>
    <row r="312">
      <c r="A312" s="6" t="str">
        <f>IFERROR(__xludf.DUMMYFUNCTION("""COMPUTED_VALUE"""),"41c88b1f-12ac-4b7f-b914-744b20a231f3")</f>
        <v>41c88b1f-12ac-4b7f-b914-744b20a231f3</v>
      </c>
      <c r="B312" s="6" t="str">
        <f>IFERROR(__xludf.DUMMYFUNCTION("""COMPUTED_VALUE"""),"8ac6e689-cd07-4934-be8c-80f88b983444")</f>
        <v>8ac6e689-cd07-4934-be8c-80f88b983444</v>
      </c>
      <c r="C312" s="7">
        <f>IFERROR(__xludf.DUMMYFUNCTION("""COMPUTED_VALUE"""),44994.0)</f>
        <v>44994</v>
      </c>
      <c r="D312" s="8">
        <f>IFERROR(__xludf.DUMMYFUNCTION("""COMPUTED_VALUE"""),7.7369321E7)</f>
        <v>77369321</v>
      </c>
      <c r="E312" s="6" t="str">
        <f>IFERROR(__xludf.DUMMYFUNCTION("""COMPUTED_VALUE"""),"DOCUMENTARY")</f>
        <v>DOCUMENTARY</v>
      </c>
      <c r="F312" s="6" t="str">
        <f>IFERROR(__xludf.DUMMYFUNCTION("""COMPUTED_VALUE"""),"Action")</f>
        <v>Action</v>
      </c>
      <c r="G312" s="6">
        <f>IFERROR(__xludf.DUMMYFUNCTION("""COMPUTED_VALUE"""),85.0)</f>
        <v>85</v>
      </c>
      <c r="H312" s="6">
        <f>IFERROR(__xludf.DUMMYFUNCTION("""COMPUTED_VALUE"""),1.0)</f>
        <v>1</v>
      </c>
      <c r="I312" s="6" t="str">
        <f>IFERROR(__xludf.DUMMYFUNCTION("""COMPUTED_VALUE"""),"Desktop")</f>
        <v>Desktop</v>
      </c>
      <c r="J312" s="6" t="str">
        <f>IFERROR(__xludf.DUMMYFUNCTION("""COMPUTED_VALUE"""),"Germany")</f>
        <v>Germany</v>
      </c>
      <c r="K312" s="6" t="str">
        <f>IFERROR(__xludf.DUMMYFUNCTION("""COMPUTED_VALUE"""),"Premium")</f>
        <v>Premium</v>
      </c>
      <c r="L312" s="6">
        <f>IFERROR(__xludf.DUMMYFUNCTION("""COMPUTED_VALUE"""),0.0)</f>
        <v>0</v>
      </c>
      <c r="M312" s="6" t="str">
        <f>IFERROR(__xludf.DUMMYFUNCTION("""COMPUTED_VALUE"""),"2023-03")</f>
        <v>2023-03</v>
      </c>
    </row>
    <row r="313">
      <c r="A313" s="6" t="str">
        <f>IFERROR(__xludf.DUMMYFUNCTION("""COMPUTED_VALUE"""),"de7d0a5f-c4eb-404b-993c-abb7b3e2e59b")</f>
        <v>de7d0a5f-c4eb-404b-993c-abb7b3e2e59b</v>
      </c>
      <c r="B313" s="6" t="str">
        <f>IFERROR(__xludf.DUMMYFUNCTION("""COMPUTED_VALUE"""),"8acdefbc-eb10-4fc3-8eaa-f186c92ea841")</f>
        <v>8acdefbc-eb10-4fc3-8eaa-f186c92ea841</v>
      </c>
      <c r="C313" s="7">
        <f>IFERROR(__xludf.DUMMYFUNCTION("""COMPUTED_VALUE"""),45091.0)</f>
        <v>45091</v>
      </c>
      <c r="D313" s="8">
        <f>IFERROR(__xludf.DUMMYFUNCTION("""COMPUTED_VALUE"""),5.6152296E7)</f>
        <v>56152296</v>
      </c>
      <c r="E313" s="6" t="str">
        <f>IFERROR(__xludf.DUMMYFUNCTION("""COMPUTED_VALUE"""),"SERIES")</f>
        <v>SERIES</v>
      </c>
      <c r="F313" s="6" t="str">
        <f>IFERROR(__xludf.DUMMYFUNCTION("""COMPUTED_VALUE"""),"Comedy")</f>
        <v>Comedy</v>
      </c>
      <c r="G313" s="6">
        <f>IFERROR(__xludf.DUMMYFUNCTION("""COMPUTED_VALUE"""),48.0)</f>
        <v>48</v>
      </c>
      <c r="H313" s="6">
        <f>IFERROR(__xludf.DUMMYFUNCTION("""COMPUTED_VALUE"""),1.0)</f>
        <v>1</v>
      </c>
      <c r="I313" s="6" t="str">
        <f>IFERROR(__xludf.DUMMYFUNCTION("""COMPUTED_VALUE"""),"Desktop")</f>
        <v>Desktop</v>
      </c>
      <c r="J313" s="6" t="str">
        <f>IFERROR(__xludf.DUMMYFUNCTION("""COMPUTED_VALUE"""),"Usa")</f>
        <v>Usa</v>
      </c>
      <c r="K313" s="6" t="str">
        <f>IFERROR(__xludf.DUMMYFUNCTION("""COMPUTED_VALUE"""),"Premium")</f>
        <v>Premium</v>
      </c>
      <c r="L313" s="6">
        <f>IFERROR(__xludf.DUMMYFUNCTION("""COMPUTED_VALUE"""),0.0)</f>
        <v>0</v>
      </c>
      <c r="M313" s="6" t="str">
        <f>IFERROR(__xludf.DUMMYFUNCTION("""COMPUTED_VALUE"""),"2023-06")</f>
        <v>2023-06</v>
      </c>
    </row>
    <row r="314">
      <c r="A314" s="6" t="str">
        <f>IFERROR(__xludf.DUMMYFUNCTION("""COMPUTED_VALUE"""),"42f076a3-9c1f-4a63-a6b3-b64dcd49b013")</f>
        <v>42f076a3-9c1f-4a63-a6b3-b64dcd49b013</v>
      </c>
      <c r="B314" s="6" t="str">
        <f>IFERROR(__xludf.DUMMYFUNCTION("""COMPUTED_VALUE"""),"8adddc7e-3c06-48ea-8d0b-b53085a9cac4")</f>
        <v>8adddc7e-3c06-48ea-8d0b-b53085a9cac4</v>
      </c>
      <c r="C314" s="7">
        <f>IFERROR(__xludf.DUMMYFUNCTION("""COMPUTED_VALUE"""),45255.0)</f>
        <v>45255</v>
      </c>
      <c r="D314" s="8">
        <f>IFERROR(__xludf.DUMMYFUNCTION("""COMPUTED_VALUE"""),2.5675092E7)</f>
        <v>25675092</v>
      </c>
      <c r="E314" s="6" t="str">
        <f>IFERROR(__xludf.DUMMYFUNCTION("""COMPUTED_VALUE"""),"DOCUMENTARY")</f>
        <v>DOCUMENTARY</v>
      </c>
      <c r="F314" s="6" t="str">
        <f>IFERROR(__xludf.DUMMYFUNCTION("""COMPUTED_VALUE"""),"Drama")</f>
        <v>Drama</v>
      </c>
      <c r="G314" s="6">
        <f>IFERROR(__xludf.DUMMYFUNCTION("""COMPUTED_VALUE"""),68.0)</f>
        <v>68</v>
      </c>
      <c r="H314" s="6">
        <f>IFERROR(__xludf.DUMMYFUNCTION("""COMPUTED_VALUE"""),0.0)</f>
        <v>0</v>
      </c>
      <c r="I314" s="6" t="str">
        <f>IFERROR(__xludf.DUMMYFUNCTION("""COMPUTED_VALUE"""),"Smart Tv")</f>
        <v>Smart Tv</v>
      </c>
      <c r="J314" s="6" t="str">
        <f>IFERROR(__xludf.DUMMYFUNCTION("""COMPUTED_VALUE"""),"Usa")</f>
        <v>Usa</v>
      </c>
      <c r="K314" s="6" t="str">
        <f>IFERROR(__xludf.DUMMYFUNCTION("""COMPUTED_VALUE"""),"Premium")</f>
        <v>Premium</v>
      </c>
      <c r="L314" s="6">
        <f>IFERROR(__xludf.DUMMYFUNCTION("""COMPUTED_VALUE"""),0.0)</f>
        <v>0</v>
      </c>
      <c r="M314" s="6" t="str">
        <f>IFERROR(__xludf.DUMMYFUNCTION("""COMPUTED_VALUE"""),"2023-11")</f>
        <v>2023-11</v>
      </c>
    </row>
    <row r="315">
      <c r="A315" s="6" t="str">
        <f>IFERROR(__xludf.DUMMYFUNCTION("""COMPUTED_VALUE"""),"51ccfaaa-931f-4649-b56a-07c364c8d42b")</f>
        <v>51ccfaaa-931f-4649-b56a-07c364c8d42b</v>
      </c>
      <c r="B315" s="6" t="str">
        <f>IFERROR(__xludf.DUMMYFUNCTION("""COMPUTED_VALUE"""),"8af76ab2-b4af-473e-951c-c8252a4d5f77")</f>
        <v>8af76ab2-b4af-473e-951c-c8252a4d5f77</v>
      </c>
      <c r="C315" s="7">
        <f>IFERROR(__xludf.DUMMYFUNCTION("""COMPUTED_VALUE"""),45079.0)</f>
        <v>45079</v>
      </c>
      <c r="D315" s="8">
        <f>IFERROR(__xludf.DUMMYFUNCTION("""COMPUTED_VALUE"""),7952104.0)</f>
        <v>7952104</v>
      </c>
      <c r="E315" s="6" t="str">
        <f>IFERROR(__xludf.DUMMYFUNCTION("""COMPUTED_VALUE"""),"SERIES")</f>
        <v>SERIES</v>
      </c>
      <c r="F315" s="6" t="str">
        <f>IFERROR(__xludf.DUMMYFUNCTION("""COMPUTED_VALUE"""),"Sci-Fi")</f>
        <v>Sci-Fi</v>
      </c>
      <c r="G315" s="6">
        <f>IFERROR(__xludf.DUMMYFUNCTION("""COMPUTED_VALUE"""),175.0)</f>
        <v>175</v>
      </c>
      <c r="H315" s="6">
        <f>IFERROR(__xludf.DUMMYFUNCTION("""COMPUTED_VALUE"""),1.0)</f>
        <v>1</v>
      </c>
      <c r="I315" s="6" t="str">
        <f>IFERROR(__xludf.DUMMYFUNCTION("""COMPUTED_VALUE"""),"Tablet")</f>
        <v>Tablet</v>
      </c>
      <c r="J315" s="6" t="str">
        <f>IFERROR(__xludf.DUMMYFUNCTION("""COMPUTED_VALUE"""),"India")</f>
        <v>India</v>
      </c>
      <c r="K315" s="6" t="str">
        <f>IFERROR(__xludf.DUMMYFUNCTION("""COMPUTED_VALUE"""),"Premium")</f>
        <v>Premium</v>
      </c>
      <c r="L315" s="6">
        <f>IFERROR(__xludf.DUMMYFUNCTION("""COMPUTED_VALUE"""),0.0)</f>
        <v>0</v>
      </c>
      <c r="M315" s="6" t="str">
        <f>IFERROR(__xludf.DUMMYFUNCTION("""COMPUTED_VALUE"""),"2023-06")</f>
        <v>2023-06</v>
      </c>
    </row>
    <row r="316">
      <c r="A316" s="6" t="str">
        <f>IFERROR(__xludf.DUMMYFUNCTION("""COMPUTED_VALUE"""),"8174b1ef-33c9-4188-8995-a1fc5f852af7")</f>
        <v>8174b1ef-33c9-4188-8995-a1fc5f852af7</v>
      </c>
      <c r="B316" s="6" t="str">
        <f>IFERROR(__xludf.DUMMYFUNCTION("""COMPUTED_VALUE"""),"8b023767-81f0-4655-bca1-eacd659d97d7")</f>
        <v>8b023767-81f0-4655-bca1-eacd659d97d7</v>
      </c>
      <c r="C316" s="7">
        <f>IFERROR(__xludf.DUMMYFUNCTION("""COMPUTED_VALUE"""),45000.0)</f>
        <v>45000</v>
      </c>
      <c r="D316" s="8">
        <f>IFERROR(__xludf.DUMMYFUNCTION("""COMPUTED_VALUE"""),4842538.0)</f>
        <v>4842538</v>
      </c>
      <c r="E316" s="6" t="str">
        <f>IFERROR(__xludf.DUMMYFUNCTION("""COMPUTED_VALUE"""),"DOCUMENTARY")</f>
        <v>DOCUMENTARY</v>
      </c>
      <c r="F316" s="6" t="str">
        <f>IFERROR(__xludf.DUMMYFUNCTION("""COMPUTED_VALUE"""),"Sci-Fi")</f>
        <v>Sci-Fi</v>
      </c>
      <c r="G316" s="6">
        <f>IFERROR(__xludf.DUMMYFUNCTION("""COMPUTED_VALUE"""),17.0)</f>
        <v>17</v>
      </c>
      <c r="H316" s="6">
        <f>IFERROR(__xludf.DUMMYFUNCTION("""COMPUTED_VALUE"""),1.0)</f>
        <v>1</v>
      </c>
      <c r="I316" s="6" t="str">
        <f>IFERROR(__xludf.DUMMYFUNCTION("""COMPUTED_VALUE"""),"Desktop")</f>
        <v>Desktop</v>
      </c>
      <c r="J316" s="6" t="str">
        <f>IFERROR(__xludf.DUMMYFUNCTION("""COMPUTED_VALUE"""),"Usa")</f>
        <v>Usa</v>
      </c>
      <c r="K316" s="6" t="str">
        <f>IFERROR(__xludf.DUMMYFUNCTION("""COMPUTED_VALUE"""),"Basic")</f>
        <v>Basic</v>
      </c>
      <c r="L316" s="6">
        <f>IFERROR(__xludf.DUMMYFUNCTION("""COMPUTED_VALUE"""),0.0)</f>
        <v>0</v>
      </c>
      <c r="M316" s="6" t="str">
        <f>IFERROR(__xludf.DUMMYFUNCTION("""COMPUTED_VALUE"""),"2023-03")</f>
        <v>2023-03</v>
      </c>
    </row>
    <row r="317">
      <c r="A317" s="6" t="str">
        <f>IFERROR(__xludf.DUMMYFUNCTION("""COMPUTED_VALUE"""),"d03a354e-bd06-4866-8a24-6e9eede19ece")</f>
        <v>d03a354e-bd06-4866-8a24-6e9eede19ece</v>
      </c>
      <c r="B317" s="6" t="str">
        <f>IFERROR(__xludf.DUMMYFUNCTION("""COMPUTED_VALUE"""),"8bf00164-3ae1-4cef-8aef-74fd99733f34")</f>
        <v>8bf00164-3ae1-4cef-8aef-74fd99733f34</v>
      </c>
      <c r="C317" s="7">
        <f>IFERROR(__xludf.DUMMYFUNCTION("""COMPUTED_VALUE"""),45205.0)</f>
        <v>45205</v>
      </c>
      <c r="D317" s="8">
        <f>IFERROR(__xludf.DUMMYFUNCTION("""COMPUTED_VALUE"""),7.3726418E7)</f>
        <v>73726418</v>
      </c>
      <c r="E317" s="6" t="str">
        <f>IFERROR(__xludf.DUMMYFUNCTION("""COMPUTED_VALUE"""),"SERIES")</f>
        <v>SERIES</v>
      </c>
      <c r="F317" s="6" t="str">
        <f>IFERROR(__xludf.DUMMYFUNCTION("""COMPUTED_VALUE"""),"Comedy")</f>
        <v>Comedy</v>
      </c>
      <c r="G317" s="6">
        <f>IFERROR(__xludf.DUMMYFUNCTION("""COMPUTED_VALUE"""),26.0)</f>
        <v>26</v>
      </c>
      <c r="H317" s="6">
        <f>IFERROR(__xludf.DUMMYFUNCTION("""COMPUTED_VALUE"""),1.0)</f>
        <v>1</v>
      </c>
      <c r="I317" s="6" t="str">
        <f>IFERROR(__xludf.DUMMYFUNCTION("""COMPUTED_VALUE"""),"Smart Tv")</f>
        <v>Smart Tv</v>
      </c>
      <c r="J317" s="6" t="str">
        <f>IFERROR(__xludf.DUMMYFUNCTION("""COMPUTED_VALUE"""),"Uk")</f>
        <v>Uk</v>
      </c>
      <c r="K317" s="6" t="str">
        <f>IFERROR(__xludf.DUMMYFUNCTION("""COMPUTED_VALUE"""),"Basic")</f>
        <v>Basic</v>
      </c>
      <c r="L317" s="6">
        <f>IFERROR(__xludf.DUMMYFUNCTION("""COMPUTED_VALUE"""),0.0)</f>
        <v>0</v>
      </c>
      <c r="M317" s="6" t="str">
        <f>IFERROR(__xludf.DUMMYFUNCTION("""COMPUTED_VALUE"""),"2023-10")</f>
        <v>2023-10</v>
      </c>
    </row>
    <row r="318">
      <c r="A318" s="6" t="str">
        <f>IFERROR(__xludf.DUMMYFUNCTION("""COMPUTED_VALUE"""),"f443bc00-3f6f-4653-b686-35784e030209")</f>
        <v>f443bc00-3f6f-4653-b686-35784e030209</v>
      </c>
      <c r="B318" s="6" t="str">
        <f>IFERROR(__xludf.DUMMYFUNCTION("""COMPUTED_VALUE"""),"8c12277f-f7aa-4c7e-ab95-e6a8034c0ca7")</f>
        <v>8c12277f-f7aa-4c7e-ab95-e6a8034c0ca7</v>
      </c>
      <c r="C318" s="7">
        <f>IFERROR(__xludf.DUMMYFUNCTION("""COMPUTED_VALUE"""),44927.0)</f>
        <v>44927</v>
      </c>
      <c r="D318" s="8">
        <f>IFERROR(__xludf.DUMMYFUNCTION("""COMPUTED_VALUE"""),4.8090001E7)</f>
        <v>48090001</v>
      </c>
      <c r="E318" s="6" t="str">
        <f>IFERROR(__xludf.DUMMYFUNCTION("""COMPUTED_VALUE"""),"DOCUMENTARY")</f>
        <v>DOCUMENTARY</v>
      </c>
      <c r="F318" s="6" t="str">
        <f>IFERROR(__xludf.DUMMYFUNCTION("""COMPUTED_VALUE"""),"Sci-Fi")</f>
        <v>Sci-Fi</v>
      </c>
      <c r="G318" s="6">
        <f>IFERROR(__xludf.DUMMYFUNCTION("""COMPUTED_VALUE"""),174.0)</f>
        <v>174</v>
      </c>
      <c r="H318" s="6">
        <f>IFERROR(__xludf.DUMMYFUNCTION("""COMPUTED_VALUE"""),1.0)</f>
        <v>1</v>
      </c>
      <c r="I318" s="6" t="str">
        <f>IFERROR(__xludf.DUMMYFUNCTION("""COMPUTED_VALUE"""),"Desktop")</f>
        <v>Desktop</v>
      </c>
      <c r="J318" s="6" t="str">
        <f>IFERROR(__xludf.DUMMYFUNCTION("""COMPUTED_VALUE"""),"France")</f>
        <v>France</v>
      </c>
      <c r="K318" s="6" t="str">
        <f>IFERROR(__xludf.DUMMYFUNCTION("""COMPUTED_VALUE"""),"Standard")</f>
        <v>Standard</v>
      </c>
      <c r="L318" s="6">
        <f>IFERROR(__xludf.DUMMYFUNCTION("""COMPUTED_VALUE"""),0.0)</f>
        <v>0</v>
      </c>
      <c r="M318" s="6" t="str">
        <f>IFERROR(__xludf.DUMMYFUNCTION("""COMPUTED_VALUE"""),"2023-01")</f>
        <v>2023-01</v>
      </c>
    </row>
    <row r="319">
      <c r="A319" s="6" t="str">
        <f>IFERROR(__xludf.DUMMYFUNCTION("""COMPUTED_VALUE"""),"eced1542-2a6c-40dd-b6cc-22476b3b9695")</f>
        <v>eced1542-2a6c-40dd-b6cc-22476b3b9695</v>
      </c>
      <c r="B319" s="6" t="str">
        <f>IFERROR(__xludf.DUMMYFUNCTION("""COMPUTED_VALUE"""),"8dca7e3a-0366-4273-8982-e0509c9a6e13")</f>
        <v>8dca7e3a-0366-4273-8982-e0509c9a6e13</v>
      </c>
      <c r="C319" s="7">
        <f>IFERROR(__xludf.DUMMYFUNCTION("""COMPUTED_VALUE"""),45156.0)</f>
        <v>45156</v>
      </c>
      <c r="D319" s="8">
        <f>IFERROR(__xludf.DUMMYFUNCTION("""COMPUTED_VALUE"""),2.1154768E7)</f>
        <v>21154768</v>
      </c>
      <c r="E319" s="6" t="str">
        <f>IFERROR(__xludf.DUMMYFUNCTION("""COMPUTED_VALUE"""),"SERIES")</f>
        <v>SERIES</v>
      </c>
      <c r="F319" s="6" t="str">
        <f>IFERROR(__xludf.DUMMYFUNCTION("""COMPUTED_VALUE"""),"Drama")</f>
        <v>Drama</v>
      </c>
      <c r="G319" s="6">
        <f>IFERROR(__xludf.DUMMYFUNCTION("""COMPUTED_VALUE"""),174.0)</f>
        <v>174</v>
      </c>
      <c r="H319" s="6">
        <f>IFERROR(__xludf.DUMMYFUNCTION("""COMPUTED_VALUE"""),1.0)</f>
        <v>1</v>
      </c>
      <c r="I319" s="6" t="str">
        <f>IFERROR(__xludf.DUMMYFUNCTION("""COMPUTED_VALUE"""),"Tablet")</f>
        <v>Tablet</v>
      </c>
      <c r="J319" s="6" t="str">
        <f>IFERROR(__xludf.DUMMYFUNCTION("""COMPUTED_VALUE"""),"Germany")</f>
        <v>Germany</v>
      </c>
      <c r="K319" s="6" t="str">
        <f>IFERROR(__xludf.DUMMYFUNCTION("""COMPUTED_VALUE"""),"Standard")</f>
        <v>Standard</v>
      </c>
      <c r="L319" s="6">
        <f>IFERROR(__xludf.DUMMYFUNCTION("""COMPUTED_VALUE"""),0.0)</f>
        <v>0</v>
      </c>
      <c r="M319" s="6" t="str">
        <f>IFERROR(__xludf.DUMMYFUNCTION("""COMPUTED_VALUE"""),"2023-08")</f>
        <v>2023-08</v>
      </c>
    </row>
    <row r="320">
      <c r="A320" s="6" t="str">
        <f>IFERROR(__xludf.DUMMYFUNCTION("""COMPUTED_VALUE"""),"1357827e-d6fc-47d4-b498-ecbd90ff1e7a")</f>
        <v>1357827e-d6fc-47d4-b498-ecbd90ff1e7a</v>
      </c>
      <c r="B320" s="6" t="str">
        <f>IFERROR(__xludf.DUMMYFUNCTION("""COMPUTED_VALUE"""),"8dd721fd-b726-4e6f-aa80-d9cbc8d77cdd")</f>
        <v>8dd721fd-b726-4e6f-aa80-d9cbc8d77cdd</v>
      </c>
      <c r="C320" s="7">
        <f>IFERROR(__xludf.DUMMYFUNCTION("""COMPUTED_VALUE"""),45114.0)</f>
        <v>45114</v>
      </c>
      <c r="D320" s="8">
        <f>IFERROR(__xludf.DUMMYFUNCTION("""COMPUTED_VALUE"""),1.1330158E7)</f>
        <v>11330158</v>
      </c>
      <c r="E320" s="6" t="str">
        <f>IFERROR(__xludf.DUMMYFUNCTION("""COMPUTED_VALUE"""),"DOCUMENTARY")</f>
        <v>DOCUMENTARY</v>
      </c>
      <c r="F320" s="6" t="str">
        <f>IFERROR(__xludf.DUMMYFUNCTION("""COMPUTED_VALUE"""),"Drama")</f>
        <v>Drama</v>
      </c>
      <c r="G320" s="6">
        <f>IFERROR(__xludf.DUMMYFUNCTION("""COMPUTED_VALUE"""),150.0)</f>
        <v>150</v>
      </c>
      <c r="H320" s="6">
        <f>IFERROR(__xludf.DUMMYFUNCTION("""COMPUTED_VALUE"""),1.0)</f>
        <v>1</v>
      </c>
      <c r="I320" s="6" t="str">
        <f>IFERROR(__xludf.DUMMYFUNCTION("""COMPUTED_VALUE"""),"Tablet")</f>
        <v>Tablet</v>
      </c>
      <c r="J320" s="6" t="str">
        <f>IFERROR(__xludf.DUMMYFUNCTION("""COMPUTED_VALUE"""),"France")</f>
        <v>France</v>
      </c>
      <c r="K320" s="6" t="str">
        <f>IFERROR(__xludf.DUMMYFUNCTION("""COMPUTED_VALUE"""),"Standard")</f>
        <v>Standard</v>
      </c>
      <c r="L320" s="6">
        <f>IFERROR(__xludf.DUMMYFUNCTION("""COMPUTED_VALUE"""),1.0)</f>
        <v>1</v>
      </c>
      <c r="M320" s="6" t="str">
        <f>IFERROR(__xludf.DUMMYFUNCTION("""COMPUTED_VALUE"""),"2023-07")</f>
        <v>2023-07</v>
      </c>
    </row>
    <row r="321">
      <c r="A321" s="6" t="str">
        <f>IFERROR(__xludf.DUMMYFUNCTION("""COMPUTED_VALUE"""),"53d495a2-f619-4158-b037-e046991c6317")</f>
        <v>53d495a2-f619-4158-b037-e046991c6317</v>
      </c>
      <c r="B321" s="6" t="str">
        <f>IFERROR(__xludf.DUMMYFUNCTION("""COMPUTED_VALUE"""),"8f5da783-03c9-478a-8261-1870c6ef05d1")</f>
        <v>8f5da783-03c9-478a-8261-1870c6ef05d1</v>
      </c>
      <c r="C321" s="7">
        <f>IFERROR(__xludf.DUMMYFUNCTION("""COMPUTED_VALUE"""),45023.0)</f>
        <v>45023</v>
      </c>
      <c r="D321" s="8">
        <f>IFERROR(__xludf.DUMMYFUNCTION("""COMPUTED_VALUE"""),8.1981052E7)</f>
        <v>81981052</v>
      </c>
      <c r="E321" s="6" t="str">
        <f>IFERROR(__xludf.DUMMYFUNCTION("""COMPUTED_VALUE"""),"MOVIE")</f>
        <v>MOVIE</v>
      </c>
      <c r="F321" s="6" t="str">
        <f>IFERROR(__xludf.DUMMYFUNCTION("""COMPUTED_VALUE"""),"Comedy")</f>
        <v>Comedy</v>
      </c>
      <c r="G321" s="6">
        <f>IFERROR(__xludf.DUMMYFUNCTION("""COMPUTED_VALUE"""),74.0)</f>
        <v>74</v>
      </c>
      <c r="H321" s="6">
        <f>IFERROR(__xludf.DUMMYFUNCTION("""COMPUTED_VALUE"""),0.0)</f>
        <v>0</v>
      </c>
      <c r="I321" s="6" t="str">
        <f>IFERROR(__xludf.DUMMYFUNCTION("""COMPUTED_VALUE"""),"Smart Tv")</f>
        <v>Smart Tv</v>
      </c>
      <c r="J321" s="6" t="str">
        <f>IFERROR(__xludf.DUMMYFUNCTION("""COMPUTED_VALUE"""),"Germany")</f>
        <v>Germany</v>
      </c>
      <c r="K321" s="6" t="str">
        <f>IFERROR(__xludf.DUMMYFUNCTION("""COMPUTED_VALUE"""),"Standard")</f>
        <v>Standard</v>
      </c>
      <c r="L321" s="6">
        <f>IFERROR(__xludf.DUMMYFUNCTION("""COMPUTED_VALUE"""),0.0)</f>
        <v>0</v>
      </c>
      <c r="M321" s="6" t="str">
        <f>IFERROR(__xludf.DUMMYFUNCTION("""COMPUTED_VALUE"""),"2023-04")</f>
        <v>2023-04</v>
      </c>
    </row>
    <row r="322">
      <c r="A322" s="6" t="str">
        <f>IFERROR(__xludf.DUMMYFUNCTION("""COMPUTED_VALUE"""),"d1dfbcc0-61d8-4302-a977-3b06a5da81af")</f>
        <v>d1dfbcc0-61d8-4302-a977-3b06a5da81af</v>
      </c>
      <c r="B322" s="6" t="str">
        <f>IFERROR(__xludf.DUMMYFUNCTION("""COMPUTED_VALUE"""),"9045bac6-ed0c-49ae-b253-fedb54e67545")</f>
        <v>9045bac6-ed0c-49ae-b253-fedb54e67545</v>
      </c>
      <c r="C322" s="7">
        <f>IFERROR(__xludf.DUMMYFUNCTION("""COMPUTED_VALUE"""),45006.0)</f>
        <v>45006</v>
      </c>
      <c r="D322" s="8">
        <f>IFERROR(__xludf.DUMMYFUNCTION("""COMPUTED_VALUE"""),7.9623346E7)</f>
        <v>79623346</v>
      </c>
      <c r="E322" s="6" t="str">
        <f>IFERROR(__xludf.DUMMYFUNCTION("""COMPUTED_VALUE"""),"SERIES")</f>
        <v>SERIES</v>
      </c>
      <c r="F322" s="6" t="str">
        <f>IFERROR(__xludf.DUMMYFUNCTION("""COMPUTED_VALUE"""),"Thriller")</f>
        <v>Thriller</v>
      </c>
      <c r="G322" s="6">
        <f>IFERROR(__xludf.DUMMYFUNCTION("""COMPUTED_VALUE"""),83.0)</f>
        <v>83</v>
      </c>
      <c r="H322" s="6">
        <f>IFERROR(__xludf.DUMMYFUNCTION("""COMPUTED_VALUE"""),0.0)</f>
        <v>0</v>
      </c>
      <c r="I322" s="6" t="str">
        <f>IFERROR(__xludf.DUMMYFUNCTION("""COMPUTED_VALUE"""),"Tablet")</f>
        <v>Tablet</v>
      </c>
      <c r="J322" s="6" t="str">
        <f>IFERROR(__xludf.DUMMYFUNCTION("""COMPUTED_VALUE"""),"Usa")</f>
        <v>Usa</v>
      </c>
      <c r="K322" s="6" t="str">
        <f>IFERROR(__xludf.DUMMYFUNCTION("""COMPUTED_VALUE"""),"Premium")</f>
        <v>Premium</v>
      </c>
      <c r="L322" s="6">
        <f>IFERROR(__xludf.DUMMYFUNCTION("""COMPUTED_VALUE"""),0.0)</f>
        <v>0</v>
      </c>
      <c r="M322" s="6" t="str">
        <f>IFERROR(__xludf.DUMMYFUNCTION("""COMPUTED_VALUE"""),"2023-03")</f>
        <v>2023-03</v>
      </c>
    </row>
    <row r="323">
      <c r="A323" s="6" t="str">
        <f>IFERROR(__xludf.DUMMYFUNCTION("""COMPUTED_VALUE"""),"79d06ea3-7ab3-45cc-b079-9c74f8f31873")</f>
        <v>79d06ea3-7ab3-45cc-b079-9c74f8f31873</v>
      </c>
      <c r="B323" s="6" t="str">
        <f>IFERROR(__xludf.DUMMYFUNCTION("""COMPUTED_VALUE"""),"906ed0f4-9e15-488a-ad8d-4357fc0556c0")</f>
        <v>906ed0f4-9e15-488a-ad8d-4357fc0556c0</v>
      </c>
      <c r="C323" s="7">
        <f>IFERROR(__xludf.DUMMYFUNCTION("""COMPUTED_VALUE"""),44950.0)</f>
        <v>44950</v>
      </c>
      <c r="D323" s="8">
        <f>IFERROR(__xludf.DUMMYFUNCTION("""COMPUTED_VALUE"""),1.3868499E7)</f>
        <v>13868499</v>
      </c>
      <c r="E323" s="6" t="str">
        <f>IFERROR(__xludf.DUMMYFUNCTION("""COMPUTED_VALUE"""),"SERIES")</f>
        <v>SERIES</v>
      </c>
      <c r="F323" s="6" t="str">
        <f>IFERROR(__xludf.DUMMYFUNCTION("""COMPUTED_VALUE"""),"Thriller")</f>
        <v>Thriller</v>
      </c>
      <c r="G323" s="6">
        <f>IFERROR(__xludf.DUMMYFUNCTION("""COMPUTED_VALUE"""),120.0)</f>
        <v>120</v>
      </c>
      <c r="H323" s="6">
        <f>IFERROR(__xludf.DUMMYFUNCTION("""COMPUTED_VALUE"""),0.0)</f>
        <v>0</v>
      </c>
      <c r="I323" s="6" t="str">
        <f>IFERROR(__xludf.DUMMYFUNCTION("""COMPUTED_VALUE"""),"Smart Tv")</f>
        <v>Smart Tv</v>
      </c>
      <c r="J323" s="6" t="str">
        <f>IFERROR(__xludf.DUMMYFUNCTION("""COMPUTED_VALUE"""),"Uk")</f>
        <v>Uk</v>
      </c>
      <c r="K323" s="6" t="str">
        <f>IFERROR(__xludf.DUMMYFUNCTION("""COMPUTED_VALUE"""),"Basic")</f>
        <v>Basic</v>
      </c>
      <c r="L323" s="6">
        <f>IFERROR(__xludf.DUMMYFUNCTION("""COMPUTED_VALUE"""),0.0)</f>
        <v>0</v>
      </c>
      <c r="M323" s="6" t="str">
        <f>IFERROR(__xludf.DUMMYFUNCTION("""COMPUTED_VALUE"""),"2023-01")</f>
        <v>2023-01</v>
      </c>
    </row>
    <row r="324">
      <c r="A324" s="6" t="str">
        <f>IFERROR(__xludf.DUMMYFUNCTION("""COMPUTED_VALUE"""),"233a8aa0-dd0f-493d-9743-993c44f36682")</f>
        <v>233a8aa0-dd0f-493d-9743-993c44f36682</v>
      </c>
      <c r="B324" s="6" t="str">
        <f>IFERROR(__xludf.DUMMYFUNCTION("""COMPUTED_VALUE"""),"921f8011-a5bc-472b-a453-3bbece1340cc")</f>
        <v>921f8011-a5bc-472b-a453-3bbece1340cc</v>
      </c>
      <c r="C324" s="7">
        <f>IFERROR(__xludf.DUMMYFUNCTION("""COMPUTED_VALUE"""),45197.0)</f>
        <v>45197</v>
      </c>
      <c r="D324" s="8">
        <f>IFERROR(__xludf.DUMMYFUNCTION("""COMPUTED_VALUE"""),6.543075E7)</f>
        <v>65430750</v>
      </c>
      <c r="E324" s="6" t="str">
        <f>IFERROR(__xludf.DUMMYFUNCTION("""COMPUTED_VALUE"""),"SERIES")</f>
        <v>SERIES</v>
      </c>
      <c r="F324" s="6" t="str">
        <f>IFERROR(__xludf.DUMMYFUNCTION("""COMPUTED_VALUE"""),"Thriller")</f>
        <v>Thriller</v>
      </c>
      <c r="G324" s="6">
        <f>IFERROR(__xludf.DUMMYFUNCTION("""COMPUTED_VALUE"""),114.0)</f>
        <v>114</v>
      </c>
      <c r="H324" s="6">
        <f>IFERROR(__xludf.DUMMYFUNCTION("""COMPUTED_VALUE"""),1.0)</f>
        <v>1</v>
      </c>
      <c r="I324" s="6" t="str">
        <f>IFERROR(__xludf.DUMMYFUNCTION("""COMPUTED_VALUE"""),"Tablet")</f>
        <v>Tablet</v>
      </c>
      <c r="J324" s="6" t="str">
        <f>IFERROR(__xludf.DUMMYFUNCTION("""COMPUTED_VALUE"""),"Uk")</f>
        <v>Uk</v>
      </c>
      <c r="K324" s="6" t="str">
        <f>IFERROR(__xludf.DUMMYFUNCTION("""COMPUTED_VALUE"""),"Standard")</f>
        <v>Standard</v>
      </c>
      <c r="L324" s="6">
        <f>IFERROR(__xludf.DUMMYFUNCTION("""COMPUTED_VALUE"""),1.0)</f>
        <v>1</v>
      </c>
      <c r="M324" s="6" t="str">
        <f>IFERROR(__xludf.DUMMYFUNCTION("""COMPUTED_VALUE"""),"2023-09")</f>
        <v>2023-09</v>
      </c>
    </row>
    <row r="325">
      <c r="A325" s="6" t="str">
        <f>IFERROR(__xludf.DUMMYFUNCTION("""COMPUTED_VALUE"""),"83a009fd-917b-4c40-9089-9a2a5dc4d442")</f>
        <v>83a009fd-917b-4c40-9089-9a2a5dc4d442</v>
      </c>
      <c r="B325" s="6" t="str">
        <f>IFERROR(__xludf.DUMMYFUNCTION("""COMPUTED_VALUE"""),"927380ff-be39-49ff-a3ea-cc96ae741428")</f>
        <v>927380ff-be39-49ff-a3ea-cc96ae741428</v>
      </c>
      <c r="C325" s="7">
        <f>IFERROR(__xludf.DUMMYFUNCTION("""COMPUTED_VALUE"""),45206.0)</f>
        <v>45206</v>
      </c>
      <c r="D325" s="8">
        <f>IFERROR(__xludf.DUMMYFUNCTION("""COMPUTED_VALUE"""),6.5716328E7)</f>
        <v>65716328</v>
      </c>
      <c r="E325" s="6" t="str">
        <f>IFERROR(__xludf.DUMMYFUNCTION("""COMPUTED_VALUE"""),"DOCUMENTARY")</f>
        <v>DOCUMENTARY</v>
      </c>
      <c r="F325" s="6" t="str">
        <f>IFERROR(__xludf.DUMMYFUNCTION("""COMPUTED_VALUE"""),"Action")</f>
        <v>Action</v>
      </c>
      <c r="G325" s="6">
        <f>IFERROR(__xludf.DUMMYFUNCTION("""COMPUTED_VALUE"""),141.0)</f>
        <v>141</v>
      </c>
      <c r="H325" s="6">
        <f>IFERROR(__xludf.DUMMYFUNCTION("""COMPUTED_VALUE"""),1.0)</f>
        <v>1</v>
      </c>
      <c r="I325" s="6" t="str">
        <f>IFERROR(__xludf.DUMMYFUNCTION("""COMPUTED_VALUE"""),"Desktop")</f>
        <v>Desktop</v>
      </c>
      <c r="J325" s="6" t="str">
        <f>IFERROR(__xludf.DUMMYFUNCTION("""COMPUTED_VALUE"""),"Germany")</f>
        <v>Germany</v>
      </c>
      <c r="K325" s="6" t="str">
        <f>IFERROR(__xludf.DUMMYFUNCTION("""COMPUTED_VALUE"""),"Basic")</f>
        <v>Basic</v>
      </c>
      <c r="L325" s="6">
        <f>IFERROR(__xludf.DUMMYFUNCTION("""COMPUTED_VALUE"""),1.0)</f>
        <v>1</v>
      </c>
      <c r="M325" s="6" t="str">
        <f>IFERROR(__xludf.DUMMYFUNCTION("""COMPUTED_VALUE"""),"2023-10")</f>
        <v>2023-10</v>
      </c>
    </row>
    <row r="326">
      <c r="A326" s="6" t="str">
        <f>IFERROR(__xludf.DUMMYFUNCTION("""COMPUTED_VALUE"""),"a79a495f-4fb7-4578-b7ba-98b75d7a9b36")</f>
        <v>a79a495f-4fb7-4578-b7ba-98b75d7a9b36</v>
      </c>
      <c r="B326" s="6" t="str">
        <f>IFERROR(__xludf.DUMMYFUNCTION("""COMPUTED_VALUE"""),"92c7ad46-9598-4b37-8a6c-f01516b0776c")</f>
        <v>92c7ad46-9598-4b37-8a6c-f01516b0776c</v>
      </c>
      <c r="C326" s="7">
        <f>IFERROR(__xludf.DUMMYFUNCTION("""COMPUTED_VALUE"""),45096.0)</f>
        <v>45096</v>
      </c>
      <c r="D326" s="8">
        <f>IFERROR(__xludf.DUMMYFUNCTION("""COMPUTED_VALUE"""),1.2635825E7)</f>
        <v>12635825</v>
      </c>
      <c r="E326" s="6" t="str">
        <f>IFERROR(__xludf.DUMMYFUNCTION("""COMPUTED_VALUE"""),"MOVIE")</f>
        <v>MOVIE</v>
      </c>
      <c r="F326" s="6" t="str">
        <f>IFERROR(__xludf.DUMMYFUNCTION("""COMPUTED_VALUE"""),"Thriller")</f>
        <v>Thriller</v>
      </c>
      <c r="G326" s="6">
        <f>IFERROR(__xludf.DUMMYFUNCTION("""COMPUTED_VALUE"""),150.0)</f>
        <v>150</v>
      </c>
      <c r="H326" s="6">
        <f>IFERROR(__xludf.DUMMYFUNCTION("""COMPUTED_VALUE"""),0.0)</f>
        <v>0</v>
      </c>
      <c r="I326" s="6" t="str">
        <f>IFERROR(__xludf.DUMMYFUNCTION("""COMPUTED_VALUE"""),"Tablet")</f>
        <v>Tablet</v>
      </c>
      <c r="J326" s="6" t="str">
        <f>IFERROR(__xludf.DUMMYFUNCTION("""COMPUTED_VALUE"""),"India")</f>
        <v>India</v>
      </c>
      <c r="K326" s="6" t="str">
        <f>IFERROR(__xludf.DUMMYFUNCTION("""COMPUTED_VALUE"""),"Premium")</f>
        <v>Premium</v>
      </c>
      <c r="L326" s="6">
        <f>IFERROR(__xludf.DUMMYFUNCTION("""COMPUTED_VALUE"""),0.0)</f>
        <v>0</v>
      </c>
      <c r="M326" s="6" t="str">
        <f>IFERROR(__xludf.DUMMYFUNCTION("""COMPUTED_VALUE"""),"2023-06")</f>
        <v>2023-06</v>
      </c>
    </row>
    <row r="327">
      <c r="A327" s="6" t="str">
        <f>IFERROR(__xludf.DUMMYFUNCTION("""COMPUTED_VALUE"""),"f7789a6b-1873-47f0-b4e1-be49ad2e1422")</f>
        <v>f7789a6b-1873-47f0-b4e1-be49ad2e1422</v>
      </c>
      <c r="B327" s="6" t="str">
        <f>IFERROR(__xludf.DUMMYFUNCTION("""COMPUTED_VALUE"""),"92e32c2d-99a2-481c-95a9-242b435f163c")</f>
        <v>92e32c2d-99a2-481c-95a9-242b435f163c</v>
      </c>
      <c r="C327" s="7">
        <f>IFERROR(__xludf.DUMMYFUNCTION("""COMPUTED_VALUE"""),45081.0)</f>
        <v>45081</v>
      </c>
      <c r="D327" s="8">
        <f>IFERROR(__xludf.DUMMYFUNCTION("""COMPUTED_VALUE"""),5154579.0)</f>
        <v>5154579</v>
      </c>
      <c r="E327" s="6" t="str">
        <f>IFERROR(__xludf.DUMMYFUNCTION("""COMPUTED_VALUE"""),"MOVIE")</f>
        <v>MOVIE</v>
      </c>
      <c r="F327" s="6" t="str">
        <f>IFERROR(__xludf.DUMMYFUNCTION("""COMPUTED_VALUE"""),"Thriller")</f>
        <v>Thriller</v>
      </c>
      <c r="G327" s="6">
        <f>IFERROR(__xludf.DUMMYFUNCTION("""COMPUTED_VALUE"""),18.0)</f>
        <v>18</v>
      </c>
      <c r="H327" s="6">
        <f>IFERROR(__xludf.DUMMYFUNCTION("""COMPUTED_VALUE"""),1.0)</f>
        <v>1</v>
      </c>
      <c r="I327" s="6" t="str">
        <f>IFERROR(__xludf.DUMMYFUNCTION("""COMPUTED_VALUE"""),"Desktop")</f>
        <v>Desktop</v>
      </c>
      <c r="J327" s="6" t="str">
        <f>IFERROR(__xludf.DUMMYFUNCTION("""COMPUTED_VALUE"""),"Uk")</f>
        <v>Uk</v>
      </c>
      <c r="K327" s="6" t="str">
        <f>IFERROR(__xludf.DUMMYFUNCTION("""COMPUTED_VALUE"""),"Standard")</f>
        <v>Standard</v>
      </c>
      <c r="L327" s="6">
        <f>IFERROR(__xludf.DUMMYFUNCTION("""COMPUTED_VALUE"""),0.0)</f>
        <v>0</v>
      </c>
      <c r="M327" s="6" t="str">
        <f>IFERROR(__xludf.DUMMYFUNCTION("""COMPUTED_VALUE"""),"2023-06")</f>
        <v>2023-06</v>
      </c>
    </row>
    <row r="328">
      <c r="A328" s="6" t="str">
        <f>IFERROR(__xludf.DUMMYFUNCTION("""COMPUTED_VALUE"""),"667ee8a0-0529-417d-846d-159eb5c2c5dc")</f>
        <v>667ee8a0-0529-417d-846d-159eb5c2c5dc</v>
      </c>
      <c r="B328" s="6" t="str">
        <f>IFERROR(__xludf.DUMMYFUNCTION("""COMPUTED_VALUE"""),"93750668-45f4-4876-9599-32ebc414f885")</f>
        <v>93750668-45f4-4876-9599-32ebc414f885</v>
      </c>
      <c r="C328" s="7">
        <f>IFERROR(__xludf.DUMMYFUNCTION("""COMPUTED_VALUE"""),45194.0)</f>
        <v>45194</v>
      </c>
      <c r="D328" s="8">
        <f>IFERROR(__xludf.DUMMYFUNCTION("""COMPUTED_VALUE"""),6.8240547E7)</f>
        <v>68240547</v>
      </c>
      <c r="E328" s="6" t="str">
        <f>IFERROR(__xludf.DUMMYFUNCTION("""COMPUTED_VALUE"""),"SERIES")</f>
        <v>SERIES</v>
      </c>
      <c r="F328" s="6" t="str">
        <f>IFERROR(__xludf.DUMMYFUNCTION("""COMPUTED_VALUE"""),"Drama")</f>
        <v>Drama</v>
      </c>
      <c r="G328" s="6">
        <f>IFERROR(__xludf.DUMMYFUNCTION("""COMPUTED_VALUE"""),52.0)</f>
        <v>52</v>
      </c>
      <c r="H328" s="6">
        <f>IFERROR(__xludf.DUMMYFUNCTION("""COMPUTED_VALUE"""),0.0)</f>
        <v>0</v>
      </c>
      <c r="I328" s="6" t="str">
        <f>IFERROR(__xludf.DUMMYFUNCTION("""COMPUTED_VALUE"""),"Mobile")</f>
        <v>Mobile</v>
      </c>
      <c r="J328" s="6" t="str">
        <f>IFERROR(__xludf.DUMMYFUNCTION("""COMPUTED_VALUE"""),"Usa")</f>
        <v>Usa</v>
      </c>
      <c r="K328" s="6" t="str">
        <f>IFERROR(__xludf.DUMMYFUNCTION("""COMPUTED_VALUE"""),"Basic")</f>
        <v>Basic</v>
      </c>
      <c r="L328" s="6">
        <f>IFERROR(__xludf.DUMMYFUNCTION("""COMPUTED_VALUE"""),0.0)</f>
        <v>0</v>
      </c>
      <c r="M328" s="6" t="str">
        <f>IFERROR(__xludf.DUMMYFUNCTION("""COMPUTED_VALUE"""),"2023-09")</f>
        <v>2023-09</v>
      </c>
    </row>
    <row r="329">
      <c r="A329" s="6" t="str">
        <f>IFERROR(__xludf.DUMMYFUNCTION("""COMPUTED_VALUE"""),"dd978cd2-3016-4e5b-b3eb-3cf4d96bab49")</f>
        <v>dd978cd2-3016-4e5b-b3eb-3cf4d96bab49</v>
      </c>
      <c r="B329" s="6" t="str">
        <f>IFERROR(__xludf.DUMMYFUNCTION("""COMPUTED_VALUE"""),"93d8e892-1e0e-4fa0-8e71-af64f01b2b96")</f>
        <v>93d8e892-1e0e-4fa0-8e71-af64f01b2b96</v>
      </c>
      <c r="C329" s="7">
        <f>IFERROR(__xludf.DUMMYFUNCTION("""COMPUTED_VALUE"""),45005.0)</f>
        <v>45005</v>
      </c>
      <c r="D329" s="8">
        <f>IFERROR(__xludf.DUMMYFUNCTION("""COMPUTED_VALUE"""),4.2481041E7)</f>
        <v>42481041</v>
      </c>
      <c r="E329" s="6" t="str">
        <f>IFERROR(__xludf.DUMMYFUNCTION("""COMPUTED_VALUE"""),"MOVIE")</f>
        <v>MOVIE</v>
      </c>
      <c r="F329" s="6" t="str">
        <f>IFERROR(__xludf.DUMMYFUNCTION("""COMPUTED_VALUE"""),"Comedy")</f>
        <v>Comedy</v>
      </c>
      <c r="G329" s="6">
        <f>IFERROR(__xludf.DUMMYFUNCTION("""COMPUTED_VALUE"""),20.0)</f>
        <v>20</v>
      </c>
      <c r="H329" s="6">
        <f>IFERROR(__xludf.DUMMYFUNCTION("""COMPUTED_VALUE"""),1.0)</f>
        <v>1</v>
      </c>
      <c r="I329" s="6" t="str">
        <f>IFERROR(__xludf.DUMMYFUNCTION("""COMPUTED_VALUE"""),"Mobile")</f>
        <v>Mobile</v>
      </c>
      <c r="J329" s="6" t="str">
        <f>IFERROR(__xludf.DUMMYFUNCTION("""COMPUTED_VALUE"""),"Uk")</f>
        <v>Uk</v>
      </c>
      <c r="K329" s="6" t="str">
        <f>IFERROR(__xludf.DUMMYFUNCTION("""COMPUTED_VALUE"""),"Standard")</f>
        <v>Standard</v>
      </c>
      <c r="L329" s="6">
        <f>IFERROR(__xludf.DUMMYFUNCTION("""COMPUTED_VALUE"""),0.0)</f>
        <v>0</v>
      </c>
      <c r="M329" s="6" t="str">
        <f>IFERROR(__xludf.DUMMYFUNCTION("""COMPUTED_VALUE"""),"2023-03")</f>
        <v>2023-03</v>
      </c>
    </row>
    <row r="330">
      <c r="A330" s="6" t="str">
        <f>IFERROR(__xludf.DUMMYFUNCTION("""COMPUTED_VALUE"""),"ad7b5582-fa5c-4d1e-bf33-28d768a553b8")</f>
        <v>ad7b5582-fa5c-4d1e-bf33-28d768a553b8</v>
      </c>
      <c r="B330" s="6" t="str">
        <f>IFERROR(__xludf.DUMMYFUNCTION("""COMPUTED_VALUE"""),"94048179-7443-4f85-b0d3-3909469a39a6")</f>
        <v>94048179-7443-4f85-b0d3-3909469a39a6</v>
      </c>
      <c r="C330" s="7">
        <f>IFERROR(__xludf.DUMMYFUNCTION("""COMPUTED_VALUE"""),45288.0)</f>
        <v>45288</v>
      </c>
      <c r="D330" s="8">
        <f>IFERROR(__xludf.DUMMYFUNCTION("""COMPUTED_VALUE"""),2.7881941E7)</f>
        <v>27881941</v>
      </c>
      <c r="E330" s="6" t="str">
        <f>IFERROR(__xludf.DUMMYFUNCTION("""COMPUTED_VALUE"""),"SERIES")</f>
        <v>SERIES</v>
      </c>
      <c r="F330" s="6" t="str">
        <f>IFERROR(__xludf.DUMMYFUNCTION("""COMPUTED_VALUE"""),"Drama")</f>
        <v>Drama</v>
      </c>
      <c r="G330" s="6">
        <f>IFERROR(__xludf.DUMMYFUNCTION("""COMPUTED_VALUE"""),67.0)</f>
        <v>67</v>
      </c>
      <c r="H330" s="6">
        <f>IFERROR(__xludf.DUMMYFUNCTION("""COMPUTED_VALUE"""),1.0)</f>
        <v>1</v>
      </c>
      <c r="I330" s="6" t="str">
        <f>IFERROR(__xludf.DUMMYFUNCTION("""COMPUTED_VALUE"""),"Smart Tv")</f>
        <v>Smart Tv</v>
      </c>
      <c r="J330" s="6" t="str">
        <f>IFERROR(__xludf.DUMMYFUNCTION("""COMPUTED_VALUE"""),"France")</f>
        <v>France</v>
      </c>
      <c r="K330" s="6" t="str">
        <f>IFERROR(__xludf.DUMMYFUNCTION("""COMPUTED_VALUE"""),"Basic")</f>
        <v>Basic</v>
      </c>
      <c r="L330" s="6">
        <f>IFERROR(__xludf.DUMMYFUNCTION("""COMPUTED_VALUE"""),0.0)</f>
        <v>0</v>
      </c>
      <c r="M330" s="6" t="str">
        <f>IFERROR(__xludf.DUMMYFUNCTION("""COMPUTED_VALUE"""),"2023-12")</f>
        <v>2023-12</v>
      </c>
    </row>
    <row r="331">
      <c r="A331" s="6" t="str">
        <f>IFERROR(__xludf.DUMMYFUNCTION("""COMPUTED_VALUE"""),"29a64a4d-deb4-4630-8615-377a64078a40")</f>
        <v>29a64a4d-deb4-4630-8615-377a64078a40</v>
      </c>
      <c r="B331" s="6" t="str">
        <f>IFERROR(__xludf.DUMMYFUNCTION("""COMPUTED_VALUE"""),"940b0751-5eb8-40a9-9b15-f2e4b465190a")</f>
        <v>940b0751-5eb8-40a9-9b15-f2e4b465190a</v>
      </c>
      <c r="C331" s="7">
        <f>IFERROR(__xludf.DUMMYFUNCTION("""COMPUTED_VALUE"""),44932.0)</f>
        <v>44932</v>
      </c>
      <c r="D331" s="8">
        <f>IFERROR(__xludf.DUMMYFUNCTION("""COMPUTED_VALUE"""),3.0725164E7)</f>
        <v>30725164</v>
      </c>
      <c r="E331" s="6" t="str">
        <f>IFERROR(__xludf.DUMMYFUNCTION("""COMPUTED_VALUE"""),"DOCUMENTARY")</f>
        <v>DOCUMENTARY</v>
      </c>
      <c r="F331" s="6" t="str">
        <f>IFERROR(__xludf.DUMMYFUNCTION("""COMPUTED_VALUE"""),"Sci-Fi")</f>
        <v>Sci-Fi</v>
      </c>
      <c r="G331" s="6">
        <f>IFERROR(__xludf.DUMMYFUNCTION("""COMPUTED_VALUE"""),64.0)</f>
        <v>64</v>
      </c>
      <c r="H331" s="6">
        <f>IFERROR(__xludf.DUMMYFUNCTION("""COMPUTED_VALUE"""),0.0)</f>
        <v>0</v>
      </c>
      <c r="I331" s="6" t="str">
        <f>IFERROR(__xludf.DUMMYFUNCTION("""COMPUTED_VALUE"""),"Tablet")</f>
        <v>Tablet</v>
      </c>
      <c r="J331" s="6" t="str">
        <f>IFERROR(__xludf.DUMMYFUNCTION("""COMPUTED_VALUE"""),"Uk")</f>
        <v>Uk</v>
      </c>
      <c r="K331" s="6" t="str">
        <f>IFERROR(__xludf.DUMMYFUNCTION("""COMPUTED_VALUE"""),"Basic")</f>
        <v>Basic</v>
      </c>
      <c r="L331" s="6">
        <f>IFERROR(__xludf.DUMMYFUNCTION("""COMPUTED_VALUE"""),0.0)</f>
        <v>0</v>
      </c>
      <c r="M331" s="6" t="str">
        <f>IFERROR(__xludf.DUMMYFUNCTION("""COMPUTED_VALUE"""),"2023-01")</f>
        <v>2023-01</v>
      </c>
    </row>
    <row r="332">
      <c r="A332" s="6" t="str">
        <f>IFERROR(__xludf.DUMMYFUNCTION("""COMPUTED_VALUE"""),"5d9f2ccc-16d1-4003-9422-f5e46b375ff0")</f>
        <v>5d9f2ccc-16d1-4003-9422-f5e46b375ff0</v>
      </c>
      <c r="B332" s="6" t="str">
        <f>IFERROR(__xludf.DUMMYFUNCTION("""COMPUTED_VALUE"""),"96502edb-e29d-40d6-8b23-9a58e70c9940")</f>
        <v>96502edb-e29d-40d6-8b23-9a58e70c9940</v>
      </c>
      <c r="C332" s="7">
        <f>IFERROR(__xludf.DUMMYFUNCTION("""COMPUTED_VALUE"""),45068.0)</f>
        <v>45068</v>
      </c>
      <c r="D332" s="8">
        <f>IFERROR(__xludf.DUMMYFUNCTION("""COMPUTED_VALUE"""),9.3922227E7)</f>
        <v>93922227</v>
      </c>
      <c r="E332" s="6" t="str">
        <f>IFERROR(__xludf.DUMMYFUNCTION("""COMPUTED_VALUE"""),"SERIES")</f>
        <v>SERIES</v>
      </c>
      <c r="F332" s="6" t="str">
        <f>IFERROR(__xludf.DUMMYFUNCTION("""COMPUTED_VALUE"""),"Drama")</f>
        <v>Drama</v>
      </c>
      <c r="G332" s="6">
        <f>IFERROR(__xludf.DUMMYFUNCTION("""COMPUTED_VALUE"""),106.0)</f>
        <v>106</v>
      </c>
      <c r="H332" s="6">
        <f>IFERROR(__xludf.DUMMYFUNCTION("""COMPUTED_VALUE"""),0.0)</f>
        <v>0</v>
      </c>
      <c r="I332" s="6" t="str">
        <f>IFERROR(__xludf.DUMMYFUNCTION("""COMPUTED_VALUE"""),"Tablet")</f>
        <v>Tablet</v>
      </c>
      <c r="J332" s="6" t="str">
        <f>IFERROR(__xludf.DUMMYFUNCTION("""COMPUTED_VALUE"""),"Uk")</f>
        <v>Uk</v>
      </c>
      <c r="K332" s="6" t="str">
        <f>IFERROR(__xludf.DUMMYFUNCTION("""COMPUTED_VALUE"""),"Basic")</f>
        <v>Basic</v>
      </c>
      <c r="L332" s="6">
        <f>IFERROR(__xludf.DUMMYFUNCTION("""COMPUTED_VALUE"""),0.0)</f>
        <v>0</v>
      </c>
      <c r="M332" s="6" t="str">
        <f>IFERROR(__xludf.DUMMYFUNCTION("""COMPUTED_VALUE"""),"2023-05")</f>
        <v>2023-05</v>
      </c>
    </row>
    <row r="333">
      <c r="A333" s="6" t="str">
        <f>IFERROR(__xludf.DUMMYFUNCTION("""COMPUTED_VALUE"""),"2b46a2ca-3f10-4262-b680-0d7abb11edbc")</f>
        <v>2b46a2ca-3f10-4262-b680-0d7abb11edbc</v>
      </c>
      <c r="B333" s="6" t="str">
        <f>IFERROR(__xludf.DUMMYFUNCTION("""COMPUTED_VALUE"""),"97347e13-b017-42d8-a192-9d49fa67fa2b")</f>
        <v>97347e13-b017-42d8-a192-9d49fa67fa2b</v>
      </c>
      <c r="C333" s="7">
        <f>IFERROR(__xludf.DUMMYFUNCTION("""COMPUTED_VALUE"""),44976.0)</f>
        <v>44976</v>
      </c>
      <c r="D333" s="8">
        <f>IFERROR(__xludf.DUMMYFUNCTION("""COMPUTED_VALUE"""),7412226.0)</f>
        <v>7412226</v>
      </c>
      <c r="E333" s="6" t="str">
        <f>IFERROR(__xludf.DUMMYFUNCTION("""COMPUTED_VALUE"""),"DOCUMENTARY")</f>
        <v>DOCUMENTARY</v>
      </c>
      <c r="F333" s="6" t="str">
        <f>IFERROR(__xludf.DUMMYFUNCTION("""COMPUTED_VALUE"""),"Action")</f>
        <v>Action</v>
      </c>
      <c r="G333" s="6">
        <f>IFERROR(__xludf.DUMMYFUNCTION("""COMPUTED_VALUE"""),99.0)</f>
        <v>99</v>
      </c>
      <c r="H333" s="6">
        <f>IFERROR(__xludf.DUMMYFUNCTION("""COMPUTED_VALUE"""),1.0)</f>
        <v>1</v>
      </c>
      <c r="I333" s="6" t="str">
        <f>IFERROR(__xludf.DUMMYFUNCTION("""COMPUTED_VALUE"""),"Mobile")</f>
        <v>Mobile</v>
      </c>
      <c r="J333" s="6" t="str">
        <f>IFERROR(__xludf.DUMMYFUNCTION("""COMPUTED_VALUE"""),"Germany")</f>
        <v>Germany</v>
      </c>
      <c r="K333" s="6" t="str">
        <f>IFERROR(__xludf.DUMMYFUNCTION("""COMPUTED_VALUE"""),"Standard")</f>
        <v>Standard</v>
      </c>
      <c r="L333" s="6">
        <f>IFERROR(__xludf.DUMMYFUNCTION("""COMPUTED_VALUE"""),0.0)</f>
        <v>0</v>
      </c>
      <c r="M333" s="6" t="str">
        <f>IFERROR(__xludf.DUMMYFUNCTION("""COMPUTED_VALUE"""),"2023-02")</f>
        <v>2023-02</v>
      </c>
    </row>
    <row r="334">
      <c r="A334" s="6" t="str">
        <f>IFERROR(__xludf.DUMMYFUNCTION("""COMPUTED_VALUE"""),"d2764690-5453-4720-8274-3edb9489cd28")</f>
        <v>d2764690-5453-4720-8274-3edb9489cd28</v>
      </c>
      <c r="B334" s="6" t="str">
        <f>IFERROR(__xludf.DUMMYFUNCTION("""COMPUTED_VALUE"""),"99396df6-4719-4ac8-a123-9abff78ec15b")</f>
        <v>99396df6-4719-4ac8-a123-9abff78ec15b</v>
      </c>
      <c r="C334" s="7">
        <f>IFERROR(__xludf.DUMMYFUNCTION("""COMPUTED_VALUE"""),45264.0)</f>
        <v>45264</v>
      </c>
      <c r="D334" s="8">
        <f>IFERROR(__xludf.DUMMYFUNCTION("""COMPUTED_VALUE"""),1.5506146E7)</f>
        <v>15506146</v>
      </c>
      <c r="E334" s="6" t="str">
        <f>IFERROR(__xludf.DUMMYFUNCTION("""COMPUTED_VALUE"""),"MOVIE")</f>
        <v>MOVIE</v>
      </c>
      <c r="F334" s="6" t="str">
        <f>IFERROR(__xludf.DUMMYFUNCTION("""COMPUTED_VALUE"""),"Action")</f>
        <v>Action</v>
      </c>
      <c r="G334" s="6">
        <f>IFERROR(__xludf.DUMMYFUNCTION("""COMPUTED_VALUE"""),129.0)</f>
        <v>129</v>
      </c>
      <c r="H334" s="6">
        <f>IFERROR(__xludf.DUMMYFUNCTION("""COMPUTED_VALUE"""),1.0)</f>
        <v>1</v>
      </c>
      <c r="I334" s="6" t="str">
        <f>IFERROR(__xludf.DUMMYFUNCTION("""COMPUTED_VALUE"""),"Mobile")</f>
        <v>Mobile</v>
      </c>
      <c r="J334" s="6" t="str">
        <f>IFERROR(__xludf.DUMMYFUNCTION("""COMPUTED_VALUE"""),"Germany")</f>
        <v>Germany</v>
      </c>
      <c r="K334" s="6" t="str">
        <f>IFERROR(__xludf.DUMMYFUNCTION("""COMPUTED_VALUE"""),"Premium")</f>
        <v>Premium</v>
      </c>
      <c r="L334" s="6">
        <f>IFERROR(__xludf.DUMMYFUNCTION("""COMPUTED_VALUE"""),0.0)</f>
        <v>0</v>
      </c>
      <c r="M334" s="6" t="str">
        <f>IFERROR(__xludf.DUMMYFUNCTION("""COMPUTED_VALUE"""),"2023-12")</f>
        <v>2023-12</v>
      </c>
    </row>
    <row r="335">
      <c r="A335" s="6" t="str">
        <f>IFERROR(__xludf.DUMMYFUNCTION("""COMPUTED_VALUE"""),"cbfbc572-76d9-4832-b91f-0d9d02e04995")</f>
        <v>cbfbc572-76d9-4832-b91f-0d9d02e04995</v>
      </c>
      <c r="B335" s="6" t="str">
        <f>IFERROR(__xludf.DUMMYFUNCTION("""COMPUTED_VALUE"""),"99a7638c-84bf-483c-bf4a-bad40edfdc50")</f>
        <v>99a7638c-84bf-483c-bf4a-bad40edfdc50</v>
      </c>
      <c r="C335" s="7">
        <f>IFERROR(__xludf.DUMMYFUNCTION("""COMPUTED_VALUE"""),45133.0)</f>
        <v>45133</v>
      </c>
      <c r="D335" s="8">
        <f>IFERROR(__xludf.DUMMYFUNCTION("""COMPUTED_VALUE"""),9.9146597E7)</f>
        <v>99146597</v>
      </c>
      <c r="E335" s="6" t="str">
        <f>IFERROR(__xludf.DUMMYFUNCTION("""COMPUTED_VALUE"""),"SERIES")</f>
        <v>SERIES</v>
      </c>
      <c r="F335" s="6" t="str">
        <f>IFERROR(__xludf.DUMMYFUNCTION("""COMPUTED_VALUE"""),"Drama")</f>
        <v>Drama</v>
      </c>
      <c r="G335" s="6">
        <f>IFERROR(__xludf.DUMMYFUNCTION("""COMPUTED_VALUE"""),138.0)</f>
        <v>138</v>
      </c>
      <c r="H335" s="6">
        <f>IFERROR(__xludf.DUMMYFUNCTION("""COMPUTED_VALUE"""),1.0)</f>
        <v>1</v>
      </c>
      <c r="I335" s="6" t="str">
        <f>IFERROR(__xludf.DUMMYFUNCTION("""COMPUTED_VALUE"""),"Mobile")</f>
        <v>Mobile</v>
      </c>
      <c r="J335" s="6" t="str">
        <f>IFERROR(__xludf.DUMMYFUNCTION("""COMPUTED_VALUE"""),"Germany")</f>
        <v>Germany</v>
      </c>
      <c r="K335" s="6" t="str">
        <f>IFERROR(__xludf.DUMMYFUNCTION("""COMPUTED_VALUE"""),"Standard")</f>
        <v>Standard</v>
      </c>
      <c r="L335" s="6">
        <f>IFERROR(__xludf.DUMMYFUNCTION("""COMPUTED_VALUE"""),0.0)</f>
        <v>0</v>
      </c>
      <c r="M335" s="6" t="str">
        <f>IFERROR(__xludf.DUMMYFUNCTION("""COMPUTED_VALUE"""),"2023-07")</f>
        <v>2023-07</v>
      </c>
    </row>
    <row r="336">
      <c r="A336" s="6" t="str">
        <f>IFERROR(__xludf.DUMMYFUNCTION("""COMPUTED_VALUE"""),"4b1e0d78-8ae8-4f4f-8b9f-8d7989828bd1")</f>
        <v>4b1e0d78-8ae8-4f4f-8b9f-8d7989828bd1</v>
      </c>
      <c r="B336" s="6" t="str">
        <f>IFERROR(__xludf.DUMMYFUNCTION("""COMPUTED_VALUE"""),"9a5526e0-565a-4759-8a4f-f14558f8889d")</f>
        <v>9a5526e0-565a-4759-8a4f-f14558f8889d</v>
      </c>
      <c r="C336" s="7">
        <f>IFERROR(__xludf.DUMMYFUNCTION("""COMPUTED_VALUE"""),45188.0)</f>
        <v>45188</v>
      </c>
      <c r="D336" s="8">
        <f>IFERROR(__xludf.DUMMYFUNCTION("""COMPUTED_VALUE"""),9.1570246E7)</f>
        <v>91570246</v>
      </c>
      <c r="E336" s="6" t="str">
        <f>IFERROR(__xludf.DUMMYFUNCTION("""COMPUTED_VALUE"""),"DOCUMENTARY")</f>
        <v>DOCUMENTARY</v>
      </c>
      <c r="F336" s="6" t="str">
        <f>IFERROR(__xludf.DUMMYFUNCTION("""COMPUTED_VALUE"""),"Thriller")</f>
        <v>Thriller</v>
      </c>
      <c r="G336" s="6">
        <f>IFERROR(__xludf.DUMMYFUNCTION("""COMPUTED_VALUE"""),89.0)</f>
        <v>89</v>
      </c>
      <c r="H336" s="6">
        <f>IFERROR(__xludf.DUMMYFUNCTION("""COMPUTED_VALUE"""),1.0)</f>
        <v>1</v>
      </c>
      <c r="I336" s="6" t="str">
        <f>IFERROR(__xludf.DUMMYFUNCTION("""COMPUTED_VALUE"""),"Tablet")</f>
        <v>Tablet</v>
      </c>
      <c r="J336" s="6" t="str">
        <f>IFERROR(__xludf.DUMMYFUNCTION("""COMPUTED_VALUE"""),"Usa")</f>
        <v>Usa</v>
      </c>
      <c r="K336" s="6" t="str">
        <f>IFERROR(__xludf.DUMMYFUNCTION("""COMPUTED_VALUE"""),"Standard")</f>
        <v>Standard</v>
      </c>
      <c r="L336" s="6">
        <f>IFERROR(__xludf.DUMMYFUNCTION("""COMPUTED_VALUE"""),0.0)</f>
        <v>0</v>
      </c>
      <c r="M336" s="6" t="str">
        <f>IFERROR(__xludf.DUMMYFUNCTION("""COMPUTED_VALUE"""),"2023-09")</f>
        <v>2023-09</v>
      </c>
    </row>
    <row r="337">
      <c r="A337" s="6" t="str">
        <f>IFERROR(__xludf.DUMMYFUNCTION("""COMPUTED_VALUE"""),"17229ab9-8311-47c2-b8cd-ebc91acaf41d")</f>
        <v>17229ab9-8311-47c2-b8cd-ebc91acaf41d</v>
      </c>
      <c r="B337" s="6" t="str">
        <f>IFERROR(__xludf.DUMMYFUNCTION("""COMPUTED_VALUE"""),"9c2db334-96f1-4b44-987b-0ae0d15ad032")</f>
        <v>9c2db334-96f1-4b44-987b-0ae0d15ad032</v>
      </c>
      <c r="C337" s="7">
        <f>IFERROR(__xludf.DUMMYFUNCTION("""COMPUTED_VALUE"""),45177.0)</f>
        <v>45177</v>
      </c>
      <c r="D337" s="8">
        <f>IFERROR(__xludf.DUMMYFUNCTION("""COMPUTED_VALUE"""),8.1813216E7)</f>
        <v>81813216</v>
      </c>
      <c r="E337" s="6" t="str">
        <f>IFERROR(__xludf.DUMMYFUNCTION("""COMPUTED_VALUE"""),"MOVIE")</f>
        <v>MOVIE</v>
      </c>
      <c r="F337" s="6" t="str">
        <f>IFERROR(__xludf.DUMMYFUNCTION("""COMPUTED_VALUE"""),"Drama")</f>
        <v>Drama</v>
      </c>
      <c r="G337" s="6">
        <f>IFERROR(__xludf.DUMMYFUNCTION("""COMPUTED_VALUE"""),160.0)</f>
        <v>160</v>
      </c>
      <c r="H337" s="6">
        <f>IFERROR(__xludf.DUMMYFUNCTION("""COMPUTED_VALUE"""),0.0)</f>
        <v>0</v>
      </c>
      <c r="I337" s="6" t="str">
        <f>IFERROR(__xludf.DUMMYFUNCTION("""COMPUTED_VALUE"""),"Tablet")</f>
        <v>Tablet</v>
      </c>
      <c r="J337" s="6" t="str">
        <f>IFERROR(__xludf.DUMMYFUNCTION("""COMPUTED_VALUE"""),"Germany")</f>
        <v>Germany</v>
      </c>
      <c r="K337" s="6" t="str">
        <f>IFERROR(__xludf.DUMMYFUNCTION("""COMPUTED_VALUE"""),"Basic")</f>
        <v>Basic</v>
      </c>
      <c r="L337" s="6">
        <f>IFERROR(__xludf.DUMMYFUNCTION("""COMPUTED_VALUE"""),0.0)</f>
        <v>0</v>
      </c>
      <c r="M337" s="6" t="str">
        <f>IFERROR(__xludf.DUMMYFUNCTION("""COMPUTED_VALUE"""),"2023-09")</f>
        <v>2023-09</v>
      </c>
    </row>
    <row r="338">
      <c r="A338" s="6" t="str">
        <f>IFERROR(__xludf.DUMMYFUNCTION("""COMPUTED_VALUE"""),"f32a7dc2-ecab-4d9f-979a-bc836449761d")</f>
        <v>f32a7dc2-ecab-4d9f-979a-bc836449761d</v>
      </c>
      <c r="B338" s="6" t="str">
        <f>IFERROR(__xludf.DUMMYFUNCTION("""COMPUTED_VALUE"""),"9dd176a2-eda1-466e-ab83-223a0c42e888")</f>
        <v>9dd176a2-eda1-466e-ab83-223a0c42e888</v>
      </c>
      <c r="C338" s="7">
        <f>IFERROR(__xludf.DUMMYFUNCTION("""COMPUTED_VALUE"""),45002.0)</f>
        <v>45002</v>
      </c>
      <c r="D338" s="8">
        <f>IFERROR(__xludf.DUMMYFUNCTION("""COMPUTED_VALUE"""),3.1326209E7)</f>
        <v>31326209</v>
      </c>
      <c r="E338" s="6" t="str">
        <f>IFERROR(__xludf.DUMMYFUNCTION("""COMPUTED_VALUE"""),"SERIES")</f>
        <v>SERIES</v>
      </c>
      <c r="F338" s="6" t="str">
        <f>IFERROR(__xludf.DUMMYFUNCTION("""COMPUTED_VALUE"""),"Drama")</f>
        <v>Drama</v>
      </c>
      <c r="G338" s="6">
        <f>IFERROR(__xludf.DUMMYFUNCTION("""COMPUTED_VALUE"""),53.0)</f>
        <v>53</v>
      </c>
      <c r="H338" s="6">
        <f>IFERROR(__xludf.DUMMYFUNCTION("""COMPUTED_VALUE"""),0.0)</f>
        <v>0</v>
      </c>
      <c r="I338" s="6" t="str">
        <f>IFERROR(__xludf.DUMMYFUNCTION("""COMPUTED_VALUE"""),"Smart Tv")</f>
        <v>Smart Tv</v>
      </c>
      <c r="J338" s="6" t="str">
        <f>IFERROR(__xludf.DUMMYFUNCTION("""COMPUTED_VALUE"""),"France")</f>
        <v>France</v>
      </c>
      <c r="K338" s="6" t="str">
        <f>IFERROR(__xludf.DUMMYFUNCTION("""COMPUTED_VALUE"""),"Standard")</f>
        <v>Standard</v>
      </c>
      <c r="L338" s="6">
        <f>IFERROR(__xludf.DUMMYFUNCTION("""COMPUTED_VALUE"""),0.0)</f>
        <v>0</v>
      </c>
      <c r="M338" s="6" t="str">
        <f>IFERROR(__xludf.DUMMYFUNCTION("""COMPUTED_VALUE"""),"2023-03")</f>
        <v>2023-03</v>
      </c>
    </row>
    <row r="339">
      <c r="A339" s="6" t="str">
        <f>IFERROR(__xludf.DUMMYFUNCTION("""COMPUTED_VALUE"""),"8eeec716-85d9-4c1b-ab4f-425e335a1391")</f>
        <v>8eeec716-85d9-4c1b-ab4f-425e335a1391</v>
      </c>
      <c r="B339" s="6" t="str">
        <f>IFERROR(__xludf.DUMMYFUNCTION("""COMPUTED_VALUE"""),"9df1ec81-bc54-4ab3-b415-8b600bafa67a")</f>
        <v>9df1ec81-bc54-4ab3-b415-8b600bafa67a</v>
      </c>
      <c r="C339" s="7">
        <f>IFERROR(__xludf.DUMMYFUNCTION("""COMPUTED_VALUE"""),45069.0)</f>
        <v>45069</v>
      </c>
      <c r="D339" s="8">
        <f>IFERROR(__xludf.DUMMYFUNCTION("""COMPUTED_VALUE"""),6.259635E7)</f>
        <v>62596350</v>
      </c>
      <c r="E339" s="6" t="str">
        <f>IFERROR(__xludf.DUMMYFUNCTION("""COMPUTED_VALUE"""),"DOCUMENTARY")</f>
        <v>DOCUMENTARY</v>
      </c>
      <c r="F339" s="6" t="str">
        <f>IFERROR(__xludf.DUMMYFUNCTION("""COMPUTED_VALUE"""),"Action")</f>
        <v>Action</v>
      </c>
      <c r="G339" s="6">
        <f>IFERROR(__xludf.DUMMYFUNCTION("""COMPUTED_VALUE"""),175.0)</f>
        <v>175</v>
      </c>
      <c r="H339" s="6">
        <f>IFERROR(__xludf.DUMMYFUNCTION("""COMPUTED_VALUE"""),1.0)</f>
        <v>1</v>
      </c>
      <c r="I339" s="6" t="str">
        <f>IFERROR(__xludf.DUMMYFUNCTION("""COMPUTED_VALUE"""),"Smart Tv")</f>
        <v>Smart Tv</v>
      </c>
      <c r="J339" s="6" t="str">
        <f>IFERROR(__xludf.DUMMYFUNCTION("""COMPUTED_VALUE"""),"Usa")</f>
        <v>Usa</v>
      </c>
      <c r="K339" s="6" t="str">
        <f>IFERROR(__xludf.DUMMYFUNCTION("""COMPUTED_VALUE"""),"Premium")</f>
        <v>Premium</v>
      </c>
      <c r="L339" s="6">
        <f>IFERROR(__xludf.DUMMYFUNCTION("""COMPUTED_VALUE"""),0.0)</f>
        <v>0</v>
      </c>
      <c r="M339" s="6" t="str">
        <f>IFERROR(__xludf.DUMMYFUNCTION("""COMPUTED_VALUE"""),"2023-05")</f>
        <v>2023-05</v>
      </c>
    </row>
    <row r="340">
      <c r="A340" s="6" t="str">
        <f>IFERROR(__xludf.DUMMYFUNCTION("""COMPUTED_VALUE"""),"f7edf89b-59f4-4ea9-a2ef-db5bf171bea9")</f>
        <v>f7edf89b-59f4-4ea9-a2ef-db5bf171bea9</v>
      </c>
      <c r="B340" s="6" t="str">
        <f>IFERROR(__xludf.DUMMYFUNCTION("""COMPUTED_VALUE"""),"9e730586-662f-449b-a7a7-c1913786fc8f")</f>
        <v>9e730586-662f-449b-a7a7-c1913786fc8f</v>
      </c>
      <c r="C340" s="7">
        <f>IFERROR(__xludf.DUMMYFUNCTION("""COMPUTED_VALUE"""),45149.0)</f>
        <v>45149</v>
      </c>
      <c r="D340" s="8">
        <f>IFERROR(__xludf.DUMMYFUNCTION("""COMPUTED_VALUE"""),6.2785662E7)</f>
        <v>62785662</v>
      </c>
      <c r="E340" s="6" t="str">
        <f>IFERROR(__xludf.DUMMYFUNCTION("""COMPUTED_VALUE"""),"DOCUMENTARY")</f>
        <v>DOCUMENTARY</v>
      </c>
      <c r="F340" s="6" t="str">
        <f>IFERROR(__xludf.DUMMYFUNCTION("""COMPUTED_VALUE"""),"Action")</f>
        <v>Action</v>
      </c>
      <c r="G340" s="6">
        <f>IFERROR(__xludf.DUMMYFUNCTION("""COMPUTED_VALUE"""),43.0)</f>
        <v>43</v>
      </c>
      <c r="H340" s="6">
        <f>IFERROR(__xludf.DUMMYFUNCTION("""COMPUTED_VALUE"""),1.0)</f>
        <v>1</v>
      </c>
      <c r="I340" s="6" t="str">
        <f>IFERROR(__xludf.DUMMYFUNCTION("""COMPUTED_VALUE"""),"Mobile")</f>
        <v>Mobile</v>
      </c>
      <c r="J340" s="6" t="str">
        <f>IFERROR(__xludf.DUMMYFUNCTION("""COMPUTED_VALUE"""),"Uk")</f>
        <v>Uk</v>
      </c>
      <c r="K340" s="6" t="str">
        <f>IFERROR(__xludf.DUMMYFUNCTION("""COMPUTED_VALUE"""),"Basic")</f>
        <v>Basic</v>
      </c>
      <c r="L340" s="6">
        <f>IFERROR(__xludf.DUMMYFUNCTION("""COMPUTED_VALUE"""),0.0)</f>
        <v>0</v>
      </c>
      <c r="M340" s="6" t="str">
        <f>IFERROR(__xludf.DUMMYFUNCTION("""COMPUTED_VALUE"""),"2023-08")</f>
        <v>2023-08</v>
      </c>
    </row>
    <row r="341">
      <c r="A341" s="6" t="str">
        <f>IFERROR(__xludf.DUMMYFUNCTION("""COMPUTED_VALUE"""),"a3764a66-0fc9-42de-b201-0fd239298ad3")</f>
        <v>a3764a66-0fc9-42de-b201-0fd239298ad3</v>
      </c>
      <c r="B341" s="6" t="str">
        <f>IFERROR(__xludf.DUMMYFUNCTION("""COMPUTED_VALUE"""),"9f79fc02-4256-4db5-b810-3dfd68e72acb")</f>
        <v>9f79fc02-4256-4db5-b810-3dfd68e72acb</v>
      </c>
      <c r="C341" s="7">
        <f>IFERROR(__xludf.DUMMYFUNCTION("""COMPUTED_VALUE"""),45236.0)</f>
        <v>45236</v>
      </c>
      <c r="D341" s="8">
        <f>IFERROR(__xludf.DUMMYFUNCTION("""COMPUTED_VALUE"""),4.4244354E7)</f>
        <v>44244354</v>
      </c>
      <c r="E341" s="6" t="str">
        <f>IFERROR(__xludf.DUMMYFUNCTION("""COMPUTED_VALUE"""),"DOCUMENTARY")</f>
        <v>DOCUMENTARY</v>
      </c>
      <c r="F341" s="6" t="str">
        <f>IFERROR(__xludf.DUMMYFUNCTION("""COMPUTED_VALUE"""),"Drama")</f>
        <v>Drama</v>
      </c>
      <c r="G341" s="6">
        <f>IFERROR(__xludf.DUMMYFUNCTION("""COMPUTED_VALUE"""),14.0)</f>
        <v>14</v>
      </c>
      <c r="H341" s="6">
        <f>IFERROR(__xludf.DUMMYFUNCTION("""COMPUTED_VALUE"""),1.0)</f>
        <v>1</v>
      </c>
      <c r="I341" s="6" t="str">
        <f>IFERROR(__xludf.DUMMYFUNCTION("""COMPUTED_VALUE"""),"Smart Tv")</f>
        <v>Smart Tv</v>
      </c>
      <c r="J341" s="6" t="str">
        <f>IFERROR(__xludf.DUMMYFUNCTION("""COMPUTED_VALUE"""),"Uk")</f>
        <v>Uk</v>
      </c>
      <c r="K341" s="6" t="str">
        <f>IFERROR(__xludf.DUMMYFUNCTION("""COMPUTED_VALUE"""),"Basic")</f>
        <v>Basic</v>
      </c>
      <c r="L341" s="6">
        <f>IFERROR(__xludf.DUMMYFUNCTION("""COMPUTED_VALUE"""),0.0)</f>
        <v>0</v>
      </c>
      <c r="M341" s="6" t="str">
        <f>IFERROR(__xludf.DUMMYFUNCTION("""COMPUTED_VALUE"""),"2023-11")</f>
        <v>2023-11</v>
      </c>
    </row>
    <row r="342">
      <c r="A342" s="6" t="str">
        <f>IFERROR(__xludf.DUMMYFUNCTION("""COMPUTED_VALUE"""),"9308dc6a-40bf-4e54-9fdb-86be22d70617")</f>
        <v>9308dc6a-40bf-4e54-9fdb-86be22d70617</v>
      </c>
      <c r="B342" s="6" t="str">
        <f>IFERROR(__xludf.DUMMYFUNCTION("""COMPUTED_VALUE"""),"9f93ae90-ae05-442e-aae2-753f0e67642f")</f>
        <v>9f93ae90-ae05-442e-aae2-753f0e67642f</v>
      </c>
      <c r="C342" s="7">
        <f>IFERROR(__xludf.DUMMYFUNCTION("""COMPUTED_VALUE"""),45280.0)</f>
        <v>45280</v>
      </c>
      <c r="D342" s="8">
        <f>IFERROR(__xludf.DUMMYFUNCTION("""COMPUTED_VALUE"""),1.778106E7)</f>
        <v>17781060</v>
      </c>
      <c r="E342" s="6" t="str">
        <f>IFERROR(__xludf.DUMMYFUNCTION("""COMPUTED_VALUE"""),"SERIES")</f>
        <v>SERIES</v>
      </c>
      <c r="F342" s="6" t="str">
        <f>IFERROR(__xludf.DUMMYFUNCTION("""COMPUTED_VALUE"""),"Thriller")</f>
        <v>Thriller</v>
      </c>
      <c r="G342" s="6">
        <f>IFERROR(__xludf.DUMMYFUNCTION("""COMPUTED_VALUE"""),51.0)</f>
        <v>51</v>
      </c>
      <c r="H342" s="6">
        <f>IFERROR(__xludf.DUMMYFUNCTION("""COMPUTED_VALUE"""),0.0)</f>
        <v>0</v>
      </c>
      <c r="I342" s="6" t="str">
        <f>IFERROR(__xludf.DUMMYFUNCTION("""COMPUTED_VALUE"""),"Desktop")</f>
        <v>Desktop</v>
      </c>
      <c r="J342" s="6" t="str">
        <f>IFERROR(__xludf.DUMMYFUNCTION("""COMPUTED_VALUE"""),"Uk")</f>
        <v>Uk</v>
      </c>
      <c r="K342" s="6" t="str">
        <f>IFERROR(__xludf.DUMMYFUNCTION("""COMPUTED_VALUE"""),"Basic")</f>
        <v>Basic</v>
      </c>
      <c r="L342" s="6">
        <f>IFERROR(__xludf.DUMMYFUNCTION("""COMPUTED_VALUE"""),0.0)</f>
        <v>0</v>
      </c>
      <c r="M342" s="6" t="str">
        <f>IFERROR(__xludf.DUMMYFUNCTION("""COMPUTED_VALUE"""),"2023-12")</f>
        <v>2023-12</v>
      </c>
    </row>
    <row r="343">
      <c r="A343" s="6" t="str">
        <f>IFERROR(__xludf.DUMMYFUNCTION("""COMPUTED_VALUE"""),"485184e3-f6b5-4674-8d0c-61fd4700feb8")</f>
        <v>485184e3-f6b5-4674-8d0c-61fd4700feb8</v>
      </c>
      <c r="B343" s="6" t="str">
        <f>IFERROR(__xludf.DUMMYFUNCTION("""COMPUTED_VALUE"""),"9fb5559e-8b9e-4fb2-8c8c-cf474aa14f44")</f>
        <v>9fb5559e-8b9e-4fb2-8c8c-cf474aa14f44</v>
      </c>
      <c r="C343" s="7">
        <f>IFERROR(__xludf.DUMMYFUNCTION("""COMPUTED_VALUE"""),45098.0)</f>
        <v>45098</v>
      </c>
      <c r="D343" s="8">
        <f>IFERROR(__xludf.DUMMYFUNCTION("""COMPUTED_VALUE"""),2.2128911E7)</f>
        <v>22128911</v>
      </c>
      <c r="E343" s="6" t="str">
        <f>IFERROR(__xludf.DUMMYFUNCTION("""COMPUTED_VALUE"""),"SERIES")</f>
        <v>SERIES</v>
      </c>
      <c r="F343" s="6" t="str">
        <f>IFERROR(__xludf.DUMMYFUNCTION("""COMPUTED_VALUE"""),"Action")</f>
        <v>Action</v>
      </c>
      <c r="G343" s="6">
        <f>IFERROR(__xludf.DUMMYFUNCTION("""COMPUTED_VALUE"""),57.0)</f>
        <v>57</v>
      </c>
      <c r="H343" s="6">
        <f>IFERROR(__xludf.DUMMYFUNCTION("""COMPUTED_VALUE"""),1.0)</f>
        <v>1</v>
      </c>
      <c r="I343" s="6" t="str">
        <f>IFERROR(__xludf.DUMMYFUNCTION("""COMPUTED_VALUE"""),"Tablet")</f>
        <v>Tablet</v>
      </c>
      <c r="J343" s="6" t="str">
        <f>IFERROR(__xludf.DUMMYFUNCTION("""COMPUTED_VALUE"""),"France")</f>
        <v>France</v>
      </c>
      <c r="K343" s="6" t="str">
        <f>IFERROR(__xludf.DUMMYFUNCTION("""COMPUTED_VALUE"""),"Standard")</f>
        <v>Standard</v>
      </c>
      <c r="L343" s="6">
        <f>IFERROR(__xludf.DUMMYFUNCTION("""COMPUTED_VALUE"""),0.0)</f>
        <v>0</v>
      </c>
      <c r="M343" s="6" t="str">
        <f>IFERROR(__xludf.DUMMYFUNCTION("""COMPUTED_VALUE"""),"2023-06")</f>
        <v>2023-06</v>
      </c>
    </row>
    <row r="344">
      <c r="A344" s="6" t="str">
        <f>IFERROR(__xludf.DUMMYFUNCTION("""COMPUTED_VALUE"""),"d8c24a82-a981-4e48-8f51-7ee3eb3689ad")</f>
        <v>d8c24a82-a981-4e48-8f51-7ee3eb3689ad</v>
      </c>
      <c r="B344" s="6" t="str">
        <f>IFERROR(__xludf.DUMMYFUNCTION("""COMPUTED_VALUE"""),"a0a97810-a42c-4c9a-b0ac-5a17aa6dc853")</f>
        <v>a0a97810-a42c-4c9a-b0ac-5a17aa6dc853</v>
      </c>
      <c r="C344" s="7">
        <f>IFERROR(__xludf.DUMMYFUNCTION("""COMPUTED_VALUE"""),45243.0)</f>
        <v>45243</v>
      </c>
      <c r="D344" s="8">
        <f>IFERROR(__xludf.DUMMYFUNCTION("""COMPUTED_VALUE"""),5.2620744E7)</f>
        <v>52620744</v>
      </c>
      <c r="E344" s="6" t="str">
        <f>IFERROR(__xludf.DUMMYFUNCTION("""COMPUTED_VALUE"""),"SERIES")</f>
        <v>SERIES</v>
      </c>
      <c r="F344" s="6" t="str">
        <f>IFERROR(__xludf.DUMMYFUNCTION("""COMPUTED_VALUE"""),"Sci-Fi")</f>
        <v>Sci-Fi</v>
      </c>
      <c r="G344" s="6">
        <f>IFERROR(__xludf.DUMMYFUNCTION("""COMPUTED_VALUE"""),97.0)</f>
        <v>97</v>
      </c>
      <c r="H344" s="6">
        <f>IFERROR(__xludf.DUMMYFUNCTION("""COMPUTED_VALUE"""),1.0)</f>
        <v>1</v>
      </c>
      <c r="I344" s="6" t="str">
        <f>IFERROR(__xludf.DUMMYFUNCTION("""COMPUTED_VALUE"""),"Smart Tv")</f>
        <v>Smart Tv</v>
      </c>
      <c r="J344" s="6" t="str">
        <f>IFERROR(__xludf.DUMMYFUNCTION("""COMPUTED_VALUE"""),"France")</f>
        <v>France</v>
      </c>
      <c r="K344" s="6" t="str">
        <f>IFERROR(__xludf.DUMMYFUNCTION("""COMPUTED_VALUE"""),"Basic")</f>
        <v>Basic</v>
      </c>
      <c r="L344" s="6">
        <f>IFERROR(__xludf.DUMMYFUNCTION("""COMPUTED_VALUE"""),0.0)</f>
        <v>0</v>
      </c>
      <c r="M344" s="6" t="str">
        <f>IFERROR(__xludf.DUMMYFUNCTION("""COMPUTED_VALUE"""),"2023-11")</f>
        <v>2023-11</v>
      </c>
    </row>
    <row r="345">
      <c r="A345" s="6" t="str">
        <f>IFERROR(__xludf.DUMMYFUNCTION("""COMPUTED_VALUE"""),"a7ba2d5f-dbea-4c1a-b81b-7f03fb0a4705")</f>
        <v>a7ba2d5f-dbea-4c1a-b81b-7f03fb0a4705</v>
      </c>
      <c r="B345" s="6" t="str">
        <f>IFERROR(__xludf.DUMMYFUNCTION("""COMPUTED_VALUE"""),"a0b92d95-6ae4-437c-a9b2-fa46b17921ea")</f>
        <v>a0b92d95-6ae4-437c-a9b2-fa46b17921ea</v>
      </c>
      <c r="C345" s="7">
        <f>IFERROR(__xludf.DUMMYFUNCTION("""COMPUTED_VALUE"""),45242.0)</f>
        <v>45242</v>
      </c>
      <c r="D345" s="8">
        <f>IFERROR(__xludf.DUMMYFUNCTION("""COMPUTED_VALUE"""),1398168.0)</f>
        <v>1398168</v>
      </c>
      <c r="E345" s="6" t="str">
        <f>IFERROR(__xludf.DUMMYFUNCTION("""COMPUTED_VALUE"""),"DOCUMENTARY")</f>
        <v>DOCUMENTARY</v>
      </c>
      <c r="F345" s="6" t="str">
        <f>IFERROR(__xludf.DUMMYFUNCTION("""COMPUTED_VALUE"""),"Action")</f>
        <v>Action</v>
      </c>
      <c r="G345" s="6">
        <f>IFERROR(__xludf.DUMMYFUNCTION("""COMPUTED_VALUE"""),30.0)</f>
        <v>30</v>
      </c>
      <c r="H345" s="6">
        <f>IFERROR(__xludf.DUMMYFUNCTION("""COMPUTED_VALUE"""),0.0)</f>
        <v>0</v>
      </c>
      <c r="I345" s="6" t="str">
        <f>IFERROR(__xludf.DUMMYFUNCTION("""COMPUTED_VALUE"""),"Desktop")</f>
        <v>Desktop</v>
      </c>
      <c r="J345" s="6" t="str">
        <f>IFERROR(__xludf.DUMMYFUNCTION("""COMPUTED_VALUE"""),"Uk")</f>
        <v>Uk</v>
      </c>
      <c r="K345" s="6" t="str">
        <f>IFERROR(__xludf.DUMMYFUNCTION("""COMPUTED_VALUE"""),"Premium")</f>
        <v>Premium</v>
      </c>
      <c r="L345" s="6">
        <f>IFERROR(__xludf.DUMMYFUNCTION("""COMPUTED_VALUE"""),0.0)</f>
        <v>0</v>
      </c>
      <c r="M345" s="6" t="str">
        <f>IFERROR(__xludf.DUMMYFUNCTION("""COMPUTED_VALUE"""),"2023-11")</f>
        <v>2023-11</v>
      </c>
    </row>
    <row r="346">
      <c r="A346" s="6" t="str">
        <f>IFERROR(__xludf.DUMMYFUNCTION("""COMPUTED_VALUE"""),"acd36cc2-e64c-404c-a288-06b388ccdc5a")</f>
        <v>acd36cc2-e64c-404c-a288-06b388ccdc5a</v>
      </c>
      <c r="B346" s="6" t="str">
        <f>IFERROR(__xludf.DUMMYFUNCTION("""COMPUTED_VALUE"""),"a19e0635-24f6-455f-b9fb-5f99e0c81e5d")</f>
        <v>a19e0635-24f6-455f-b9fb-5f99e0c81e5d</v>
      </c>
      <c r="C346" s="7">
        <f>IFERROR(__xludf.DUMMYFUNCTION("""COMPUTED_VALUE"""),45205.0)</f>
        <v>45205</v>
      </c>
      <c r="D346" s="8">
        <f>IFERROR(__xludf.DUMMYFUNCTION("""COMPUTED_VALUE"""),1.5639608E7)</f>
        <v>15639608</v>
      </c>
      <c r="E346" s="6" t="str">
        <f>IFERROR(__xludf.DUMMYFUNCTION("""COMPUTED_VALUE"""),"SERIES")</f>
        <v>SERIES</v>
      </c>
      <c r="F346" s="6" t="str">
        <f>IFERROR(__xludf.DUMMYFUNCTION("""COMPUTED_VALUE"""),"Thriller")</f>
        <v>Thriller</v>
      </c>
      <c r="G346" s="6">
        <f>IFERROR(__xludf.DUMMYFUNCTION("""COMPUTED_VALUE"""),16.0)</f>
        <v>16</v>
      </c>
      <c r="H346" s="6">
        <f>IFERROR(__xludf.DUMMYFUNCTION("""COMPUTED_VALUE"""),0.0)</f>
        <v>0</v>
      </c>
      <c r="I346" s="6" t="str">
        <f>IFERROR(__xludf.DUMMYFUNCTION("""COMPUTED_VALUE"""),"Desktop")</f>
        <v>Desktop</v>
      </c>
      <c r="J346" s="6" t="str">
        <f>IFERROR(__xludf.DUMMYFUNCTION("""COMPUTED_VALUE"""),"France")</f>
        <v>France</v>
      </c>
      <c r="K346" s="6" t="str">
        <f>IFERROR(__xludf.DUMMYFUNCTION("""COMPUTED_VALUE"""),"Premium")</f>
        <v>Premium</v>
      </c>
      <c r="L346" s="6">
        <f>IFERROR(__xludf.DUMMYFUNCTION("""COMPUTED_VALUE"""),0.0)</f>
        <v>0</v>
      </c>
      <c r="M346" s="6" t="str">
        <f>IFERROR(__xludf.DUMMYFUNCTION("""COMPUTED_VALUE"""),"2023-10")</f>
        <v>2023-10</v>
      </c>
    </row>
    <row r="347">
      <c r="A347" s="6" t="str">
        <f>IFERROR(__xludf.DUMMYFUNCTION("""COMPUTED_VALUE"""),"fd2cf8f2-6b25-4c20-8b48-51318f2f9889")</f>
        <v>fd2cf8f2-6b25-4c20-8b48-51318f2f9889</v>
      </c>
      <c r="B347" s="6" t="str">
        <f>IFERROR(__xludf.DUMMYFUNCTION("""COMPUTED_VALUE"""),"a1efffa8-06c5-431b-bc67-288c72bf5a95")</f>
        <v>a1efffa8-06c5-431b-bc67-288c72bf5a95</v>
      </c>
      <c r="C347" s="7">
        <f>IFERROR(__xludf.DUMMYFUNCTION("""COMPUTED_VALUE"""),45035.0)</f>
        <v>45035</v>
      </c>
      <c r="D347" s="8">
        <f>IFERROR(__xludf.DUMMYFUNCTION("""COMPUTED_VALUE"""),7.3935469E7)</f>
        <v>73935469</v>
      </c>
      <c r="E347" s="6" t="str">
        <f>IFERROR(__xludf.DUMMYFUNCTION("""COMPUTED_VALUE"""),"DOCUMENTARY")</f>
        <v>DOCUMENTARY</v>
      </c>
      <c r="F347" s="6" t="str">
        <f>IFERROR(__xludf.DUMMYFUNCTION("""COMPUTED_VALUE"""),"Action")</f>
        <v>Action</v>
      </c>
      <c r="G347" s="6">
        <f>IFERROR(__xludf.DUMMYFUNCTION("""COMPUTED_VALUE"""),147.0)</f>
        <v>147</v>
      </c>
      <c r="H347" s="6">
        <f>IFERROR(__xludf.DUMMYFUNCTION("""COMPUTED_VALUE"""),1.0)</f>
        <v>1</v>
      </c>
      <c r="I347" s="6" t="str">
        <f>IFERROR(__xludf.DUMMYFUNCTION("""COMPUTED_VALUE"""),"Smart Tv")</f>
        <v>Smart Tv</v>
      </c>
      <c r="J347" s="6" t="str">
        <f>IFERROR(__xludf.DUMMYFUNCTION("""COMPUTED_VALUE"""),"France")</f>
        <v>France</v>
      </c>
      <c r="K347" s="6" t="str">
        <f>IFERROR(__xludf.DUMMYFUNCTION("""COMPUTED_VALUE"""),"Standard")</f>
        <v>Standard</v>
      </c>
      <c r="L347" s="6">
        <f>IFERROR(__xludf.DUMMYFUNCTION("""COMPUTED_VALUE"""),0.0)</f>
        <v>0</v>
      </c>
      <c r="M347" s="6" t="str">
        <f>IFERROR(__xludf.DUMMYFUNCTION("""COMPUTED_VALUE"""),"2023-04")</f>
        <v>2023-04</v>
      </c>
    </row>
    <row r="348">
      <c r="A348" s="6" t="str">
        <f>IFERROR(__xludf.DUMMYFUNCTION("""COMPUTED_VALUE"""),"b54d83e5-9e24-4b8e-a68b-25f6f005398f")</f>
        <v>b54d83e5-9e24-4b8e-a68b-25f6f005398f</v>
      </c>
      <c r="B348" s="6" t="str">
        <f>IFERROR(__xludf.DUMMYFUNCTION("""COMPUTED_VALUE"""),"a2451d09-1530-4104-a579-03122ee6df1f")</f>
        <v>a2451d09-1530-4104-a579-03122ee6df1f</v>
      </c>
      <c r="C348" s="7">
        <f>IFERROR(__xludf.DUMMYFUNCTION("""COMPUTED_VALUE"""),45146.0)</f>
        <v>45146</v>
      </c>
      <c r="D348" s="8">
        <f>IFERROR(__xludf.DUMMYFUNCTION("""COMPUTED_VALUE"""),2.9665419E7)</f>
        <v>29665419</v>
      </c>
      <c r="E348" s="6" t="str">
        <f>IFERROR(__xludf.DUMMYFUNCTION("""COMPUTED_VALUE"""),"SERIES")</f>
        <v>SERIES</v>
      </c>
      <c r="F348" s="6" t="str">
        <f>IFERROR(__xludf.DUMMYFUNCTION("""COMPUTED_VALUE"""),"Comedy")</f>
        <v>Comedy</v>
      </c>
      <c r="G348" s="6">
        <f>IFERROR(__xludf.DUMMYFUNCTION("""COMPUTED_VALUE"""),116.0)</f>
        <v>116</v>
      </c>
      <c r="H348" s="6">
        <f>IFERROR(__xludf.DUMMYFUNCTION("""COMPUTED_VALUE"""),1.0)</f>
        <v>1</v>
      </c>
      <c r="I348" s="6" t="str">
        <f>IFERROR(__xludf.DUMMYFUNCTION("""COMPUTED_VALUE"""),"Mobile")</f>
        <v>Mobile</v>
      </c>
      <c r="J348" s="6" t="str">
        <f>IFERROR(__xludf.DUMMYFUNCTION("""COMPUTED_VALUE"""),"Uk")</f>
        <v>Uk</v>
      </c>
      <c r="K348" s="6" t="str">
        <f>IFERROR(__xludf.DUMMYFUNCTION("""COMPUTED_VALUE"""),"Basic")</f>
        <v>Basic</v>
      </c>
      <c r="L348" s="6">
        <f>IFERROR(__xludf.DUMMYFUNCTION("""COMPUTED_VALUE"""),0.0)</f>
        <v>0</v>
      </c>
      <c r="M348" s="6" t="str">
        <f>IFERROR(__xludf.DUMMYFUNCTION("""COMPUTED_VALUE"""),"2023-08")</f>
        <v>2023-08</v>
      </c>
    </row>
    <row r="349">
      <c r="A349" s="6" t="str">
        <f>IFERROR(__xludf.DUMMYFUNCTION("""COMPUTED_VALUE"""),"09ec485c-dc00-4fee-8541-ee03cb4c7788")</f>
        <v>09ec485c-dc00-4fee-8541-ee03cb4c7788</v>
      </c>
      <c r="B349" s="6" t="str">
        <f>IFERROR(__xludf.DUMMYFUNCTION("""COMPUTED_VALUE"""),"a31d9ef6-3449-41ee-9247-15e281cd058b")</f>
        <v>a31d9ef6-3449-41ee-9247-15e281cd058b</v>
      </c>
      <c r="C349" s="7">
        <f>IFERROR(__xludf.DUMMYFUNCTION("""COMPUTED_VALUE"""),45218.0)</f>
        <v>45218</v>
      </c>
      <c r="D349" s="8">
        <f>IFERROR(__xludf.DUMMYFUNCTION("""COMPUTED_VALUE"""),3.6701049E7)</f>
        <v>36701049</v>
      </c>
      <c r="E349" s="6" t="str">
        <f>IFERROR(__xludf.DUMMYFUNCTION("""COMPUTED_VALUE"""),"SERIES")</f>
        <v>SERIES</v>
      </c>
      <c r="F349" s="6" t="str">
        <f>IFERROR(__xludf.DUMMYFUNCTION("""COMPUTED_VALUE"""),"Sci-Fi")</f>
        <v>Sci-Fi</v>
      </c>
      <c r="G349" s="6">
        <f>IFERROR(__xludf.DUMMYFUNCTION("""COMPUTED_VALUE"""),80.0)</f>
        <v>80</v>
      </c>
      <c r="H349" s="6">
        <f>IFERROR(__xludf.DUMMYFUNCTION("""COMPUTED_VALUE"""),1.0)</f>
        <v>1</v>
      </c>
      <c r="I349" s="6" t="str">
        <f>IFERROR(__xludf.DUMMYFUNCTION("""COMPUTED_VALUE"""),"Desktop")</f>
        <v>Desktop</v>
      </c>
      <c r="J349" s="6" t="str">
        <f>IFERROR(__xludf.DUMMYFUNCTION("""COMPUTED_VALUE"""),"Uk")</f>
        <v>Uk</v>
      </c>
      <c r="K349" s="6" t="str">
        <f>IFERROR(__xludf.DUMMYFUNCTION("""COMPUTED_VALUE"""),"Basic")</f>
        <v>Basic</v>
      </c>
      <c r="L349" s="6">
        <f>IFERROR(__xludf.DUMMYFUNCTION("""COMPUTED_VALUE"""),0.0)</f>
        <v>0</v>
      </c>
      <c r="M349" s="6" t="str">
        <f>IFERROR(__xludf.DUMMYFUNCTION("""COMPUTED_VALUE"""),"2023-10")</f>
        <v>2023-10</v>
      </c>
    </row>
    <row r="350">
      <c r="A350" s="6" t="str">
        <f>IFERROR(__xludf.DUMMYFUNCTION("""COMPUTED_VALUE"""),"2536c20e-4329-4eef-aa6d-b5baa7452ec1")</f>
        <v>2536c20e-4329-4eef-aa6d-b5baa7452ec1</v>
      </c>
      <c r="B350" s="6" t="str">
        <f>IFERROR(__xludf.DUMMYFUNCTION("""COMPUTED_VALUE"""),"a33d8bd7-90ae-40f3-bd34-c1a10cce431c")</f>
        <v>a33d8bd7-90ae-40f3-bd34-c1a10cce431c</v>
      </c>
      <c r="C350" s="7">
        <f>IFERROR(__xludf.DUMMYFUNCTION("""COMPUTED_VALUE"""),44990.0)</f>
        <v>44990</v>
      </c>
      <c r="D350" s="8">
        <f>IFERROR(__xludf.DUMMYFUNCTION("""COMPUTED_VALUE"""),2.3878389E7)</f>
        <v>23878389</v>
      </c>
      <c r="E350" s="6" t="str">
        <f>IFERROR(__xludf.DUMMYFUNCTION("""COMPUTED_VALUE"""),"DOCUMENTARY")</f>
        <v>DOCUMENTARY</v>
      </c>
      <c r="F350" s="6" t="str">
        <f>IFERROR(__xludf.DUMMYFUNCTION("""COMPUTED_VALUE"""),"Drama")</f>
        <v>Drama</v>
      </c>
      <c r="G350" s="6">
        <f>IFERROR(__xludf.DUMMYFUNCTION("""COMPUTED_VALUE"""),136.0)</f>
        <v>136</v>
      </c>
      <c r="H350" s="6">
        <f>IFERROR(__xludf.DUMMYFUNCTION("""COMPUTED_VALUE"""),1.0)</f>
        <v>1</v>
      </c>
      <c r="I350" s="6" t="str">
        <f>IFERROR(__xludf.DUMMYFUNCTION("""COMPUTED_VALUE"""),"Tablet")</f>
        <v>Tablet</v>
      </c>
      <c r="J350" s="6" t="str">
        <f>IFERROR(__xludf.DUMMYFUNCTION("""COMPUTED_VALUE"""),"Uk")</f>
        <v>Uk</v>
      </c>
      <c r="K350" s="6" t="str">
        <f>IFERROR(__xludf.DUMMYFUNCTION("""COMPUTED_VALUE"""),"Premium")</f>
        <v>Premium</v>
      </c>
      <c r="L350" s="6">
        <f>IFERROR(__xludf.DUMMYFUNCTION("""COMPUTED_VALUE"""),0.0)</f>
        <v>0</v>
      </c>
      <c r="M350" s="6" t="str">
        <f>IFERROR(__xludf.DUMMYFUNCTION("""COMPUTED_VALUE"""),"2023-03")</f>
        <v>2023-03</v>
      </c>
    </row>
    <row r="351">
      <c r="A351" s="6" t="str">
        <f>IFERROR(__xludf.DUMMYFUNCTION("""COMPUTED_VALUE"""),"a4dc54cf-c534-492c-9aaf-3dde8ef80189")</f>
        <v>a4dc54cf-c534-492c-9aaf-3dde8ef80189</v>
      </c>
      <c r="B351" s="6" t="str">
        <f>IFERROR(__xludf.DUMMYFUNCTION("""COMPUTED_VALUE"""),"a35fab85-88c8-4221-a567-29813701687b")</f>
        <v>a35fab85-88c8-4221-a567-29813701687b</v>
      </c>
      <c r="C351" s="7">
        <f>IFERROR(__xludf.DUMMYFUNCTION("""COMPUTED_VALUE"""),45035.0)</f>
        <v>45035</v>
      </c>
      <c r="D351" s="8">
        <f>IFERROR(__xludf.DUMMYFUNCTION("""COMPUTED_VALUE"""),9.5076942E7)</f>
        <v>95076942</v>
      </c>
      <c r="E351" s="6" t="str">
        <f>IFERROR(__xludf.DUMMYFUNCTION("""COMPUTED_VALUE"""),"DOCUMENTARY")</f>
        <v>DOCUMENTARY</v>
      </c>
      <c r="F351" s="6" t="str">
        <f>IFERROR(__xludf.DUMMYFUNCTION("""COMPUTED_VALUE"""),"Drama")</f>
        <v>Drama</v>
      </c>
      <c r="G351" s="6">
        <f>IFERROR(__xludf.DUMMYFUNCTION("""COMPUTED_VALUE"""),18.0)</f>
        <v>18</v>
      </c>
      <c r="H351" s="6">
        <f>IFERROR(__xludf.DUMMYFUNCTION("""COMPUTED_VALUE"""),0.0)</f>
        <v>0</v>
      </c>
      <c r="I351" s="6" t="str">
        <f>IFERROR(__xludf.DUMMYFUNCTION("""COMPUTED_VALUE"""),"Mobile")</f>
        <v>Mobile</v>
      </c>
      <c r="J351" s="6" t="str">
        <f>IFERROR(__xludf.DUMMYFUNCTION("""COMPUTED_VALUE"""),"India")</f>
        <v>India</v>
      </c>
      <c r="K351" s="6" t="str">
        <f>IFERROR(__xludf.DUMMYFUNCTION("""COMPUTED_VALUE"""),"Standard")</f>
        <v>Standard</v>
      </c>
      <c r="L351" s="6">
        <f>IFERROR(__xludf.DUMMYFUNCTION("""COMPUTED_VALUE"""),0.0)</f>
        <v>0</v>
      </c>
      <c r="M351" s="6" t="str">
        <f>IFERROR(__xludf.DUMMYFUNCTION("""COMPUTED_VALUE"""),"2023-04")</f>
        <v>2023-04</v>
      </c>
    </row>
    <row r="352">
      <c r="A352" s="6" t="str">
        <f>IFERROR(__xludf.DUMMYFUNCTION("""COMPUTED_VALUE"""),"4fa0a558-fd90-4d75-b546-08bd53ac5e92")</f>
        <v>4fa0a558-fd90-4d75-b546-08bd53ac5e92</v>
      </c>
      <c r="B352" s="6" t="str">
        <f>IFERROR(__xludf.DUMMYFUNCTION("""COMPUTED_VALUE"""),"a3889ae8-c144-4527-90a0-3922b0b24b55")</f>
        <v>a3889ae8-c144-4527-90a0-3922b0b24b55</v>
      </c>
      <c r="C352" s="7">
        <f>IFERROR(__xludf.DUMMYFUNCTION("""COMPUTED_VALUE"""),45121.0)</f>
        <v>45121</v>
      </c>
      <c r="D352" s="8">
        <f>IFERROR(__xludf.DUMMYFUNCTION("""COMPUTED_VALUE"""),6.8006211E7)</f>
        <v>68006211</v>
      </c>
      <c r="E352" s="6" t="str">
        <f>IFERROR(__xludf.DUMMYFUNCTION("""COMPUTED_VALUE"""),"SERIES")</f>
        <v>SERIES</v>
      </c>
      <c r="F352" s="6" t="str">
        <f>IFERROR(__xludf.DUMMYFUNCTION("""COMPUTED_VALUE"""),"Action")</f>
        <v>Action</v>
      </c>
      <c r="G352" s="6">
        <f>IFERROR(__xludf.DUMMYFUNCTION("""COMPUTED_VALUE"""),86.0)</f>
        <v>86</v>
      </c>
      <c r="H352" s="6">
        <f>IFERROR(__xludf.DUMMYFUNCTION("""COMPUTED_VALUE"""),1.0)</f>
        <v>1</v>
      </c>
      <c r="I352" s="6" t="str">
        <f>IFERROR(__xludf.DUMMYFUNCTION("""COMPUTED_VALUE"""),"Tablet")</f>
        <v>Tablet</v>
      </c>
      <c r="J352" s="6" t="str">
        <f>IFERROR(__xludf.DUMMYFUNCTION("""COMPUTED_VALUE"""),"India")</f>
        <v>India</v>
      </c>
      <c r="K352" s="6" t="str">
        <f>IFERROR(__xludf.DUMMYFUNCTION("""COMPUTED_VALUE"""),"Standard")</f>
        <v>Standard</v>
      </c>
      <c r="L352" s="6">
        <f>IFERROR(__xludf.DUMMYFUNCTION("""COMPUTED_VALUE"""),0.0)</f>
        <v>0</v>
      </c>
      <c r="M352" s="6" t="str">
        <f>IFERROR(__xludf.DUMMYFUNCTION("""COMPUTED_VALUE"""),"2023-07")</f>
        <v>2023-07</v>
      </c>
    </row>
    <row r="353">
      <c r="A353" s="6" t="str">
        <f>IFERROR(__xludf.DUMMYFUNCTION("""COMPUTED_VALUE"""),"fccf05c4-0bcc-46ca-b2a2-882c4303abc5")</f>
        <v>fccf05c4-0bcc-46ca-b2a2-882c4303abc5</v>
      </c>
      <c r="B353" s="6" t="str">
        <f>IFERROR(__xludf.DUMMYFUNCTION("""COMPUTED_VALUE"""),"a39d63e0-42e0-49db-a618-8f44fea0a967")</f>
        <v>a39d63e0-42e0-49db-a618-8f44fea0a967</v>
      </c>
      <c r="C353" s="7">
        <f>IFERROR(__xludf.DUMMYFUNCTION("""COMPUTED_VALUE"""),45182.0)</f>
        <v>45182</v>
      </c>
      <c r="D353" s="8">
        <f>IFERROR(__xludf.DUMMYFUNCTION("""COMPUTED_VALUE"""),5.5042413E7)</f>
        <v>55042413</v>
      </c>
      <c r="E353" s="6" t="str">
        <f>IFERROR(__xludf.DUMMYFUNCTION("""COMPUTED_VALUE"""),"DOCUMENTARY")</f>
        <v>DOCUMENTARY</v>
      </c>
      <c r="F353" s="6" t="str">
        <f>IFERROR(__xludf.DUMMYFUNCTION("""COMPUTED_VALUE"""),"Drama")</f>
        <v>Drama</v>
      </c>
      <c r="G353" s="6">
        <f>IFERROR(__xludf.DUMMYFUNCTION("""COMPUTED_VALUE"""),108.0)</f>
        <v>108</v>
      </c>
      <c r="H353" s="6">
        <f>IFERROR(__xludf.DUMMYFUNCTION("""COMPUTED_VALUE"""),0.0)</f>
        <v>0</v>
      </c>
      <c r="I353" s="6" t="str">
        <f>IFERROR(__xludf.DUMMYFUNCTION("""COMPUTED_VALUE"""),"Mobile")</f>
        <v>Mobile</v>
      </c>
      <c r="J353" s="6" t="str">
        <f>IFERROR(__xludf.DUMMYFUNCTION("""COMPUTED_VALUE"""),"Germany")</f>
        <v>Germany</v>
      </c>
      <c r="K353" s="6" t="str">
        <f>IFERROR(__xludf.DUMMYFUNCTION("""COMPUTED_VALUE"""),"Premium")</f>
        <v>Premium</v>
      </c>
      <c r="L353" s="6">
        <f>IFERROR(__xludf.DUMMYFUNCTION("""COMPUTED_VALUE"""),0.0)</f>
        <v>0</v>
      </c>
      <c r="M353" s="6" t="str">
        <f>IFERROR(__xludf.DUMMYFUNCTION("""COMPUTED_VALUE"""),"2023-09")</f>
        <v>2023-09</v>
      </c>
    </row>
    <row r="354">
      <c r="A354" s="6" t="str">
        <f>IFERROR(__xludf.DUMMYFUNCTION("""COMPUTED_VALUE"""),"cdccdc66-8a40-4090-9c21-51a275c8fe6c")</f>
        <v>cdccdc66-8a40-4090-9c21-51a275c8fe6c</v>
      </c>
      <c r="B354" s="6" t="str">
        <f>IFERROR(__xludf.DUMMYFUNCTION("""COMPUTED_VALUE"""),"a3a8c488-a4c9-4cae-a54d-9ae4023304c6")</f>
        <v>a3a8c488-a4c9-4cae-a54d-9ae4023304c6</v>
      </c>
      <c r="C354" s="7">
        <f>IFERROR(__xludf.DUMMYFUNCTION("""COMPUTED_VALUE"""),44969.0)</f>
        <v>44969</v>
      </c>
      <c r="D354" s="8">
        <f>IFERROR(__xludf.DUMMYFUNCTION("""COMPUTED_VALUE"""),5.6830644E7)</f>
        <v>56830644</v>
      </c>
      <c r="E354" s="6" t="str">
        <f>IFERROR(__xludf.DUMMYFUNCTION("""COMPUTED_VALUE"""),"MOVIE")</f>
        <v>MOVIE</v>
      </c>
      <c r="F354" s="6" t="str">
        <f>IFERROR(__xludf.DUMMYFUNCTION("""COMPUTED_VALUE"""),"Sci-Fi")</f>
        <v>Sci-Fi</v>
      </c>
      <c r="G354" s="6">
        <f>IFERROR(__xludf.DUMMYFUNCTION("""COMPUTED_VALUE"""),31.0)</f>
        <v>31</v>
      </c>
      <c r="H354" s="6">
        <f>IFERROR(__xludf.DUMMYFUNCTION("""COMPUTED_VALUE"""),1.0)</f>
        <v>1</v>
      </c>
      <c r="I354" s="6" t="str">
        <f>IFERROR(__xludf.DUMMYFUNCTION("""COMPUTED_VALUE"""),"Tablet")</f>
        <v>Tablet</v>
      </c>
      <c r="J354" s="6" t="str">
        <f>IFERROR(__xludf.DUMMYFUNCTION("""COMPUTED_VALUE"""),"Uk")</f>
        <v>Uk</v>
      </c>
      <c r="K354" s="6" t="str">
        <f>IFERROR(__xludf.DUMMYFUNCTION("""COMPUTED_VALUE"""),"Standard")</f>
        <v>Standard</v>
      </c>
      <c r="L354" s="6">
        <f>IFERROR(__xludf.DUMMYFUNCTION("""COMPUTED_VALUE"""),0.0)</f>
        <v>0</v>
      </c>
      <c r="M354" s="6" t="str">
        <f>IFERROR(__xludf.DUMMYFUNCTION("""COMPUTED_VALUE"""),"2023-02")</f>
        <v>2023-02</v>
      </c>
    </row>
    <row r="355">
      <c r="A355" s="6" t="str">
        <f>IFERROR(__xludf.DUMMYFUNCTION("""COMPUTED_VALUE"""),"368f8052-8f38-4308-abc1-f2ec6bc7ae68")</f>
        <v>368f8052-8f38-4308-abc1-f2ec6bc7ae68</v>
      </c>
      <c r="B355" s="6" t="str">
        <f>IFERROR(__xludf.DUMMYFUNCTION("""COMPUTED_VALUE"""),"a3ada5c8-e43b-4280-93bd-e818b96f1439")</f>
        <v>a3ada5c8-e43b-4280-93bd-e818b96f1439</v>
      </c>
      <c r="C355" s="7">
        <f>IFERROR(__xludf.DUMMYFUNCTION("""COMPUTED_VALUE"""),45136.0)</f>
        <v>45136</v>
      </c>
      <c r="D355" s="8">
        <f>IFERROR(__xludf.DUMMYFUNCTION("""COMPUTED_VALUE"""),4.2150992E7)</f>
        <v>42150992</v>
      </c>
      <c r="E355" s="6" t="str">
        <f>IFERROR(__xludf.DUMMYFUNCTION("""COMPUTED_VALUE"""),"DOCUMENTARY")</f>
        <v>DOCUMENTARY</v>
      </c>
      <c r="F355" s="6" t="str">
        <f>IFERROR(__xludf.DUMMYFUNCTION("""COMPUTED_VALUE"""),"Comedy")</f>
        <v>Comedy</v>
      </c>
      <c r="G355" s="6">
        <f>IFERROR(__xludf.DUMMYFUNCTION("""COMPUTED_VALUE"""),28.0)</f>
        <v>28</v>
      </c>
      <c r="H355" s="6">
        <f>IFERROR(__xludf.DUMMYFUNCTION("""COMPUTED_VALUE"""),0.0)</f>
        <v>0</v>
      </c>
      <c r="I355" s="6" t="str">
        <f>IFERROR(__xludf.DUMMYFUNCTION("""COMPUTED_VALUE"""),"Tablet")</f>
        <v>Tablet</v>
      </c>
      <c r="J355" s="6" t="str">
        <f>IFERROR(__xludf.DUMMYFUNCTION("""COMPUTED_VALUE"""),"Uk")</f>
        <v>Uk</v>
      </c>
      <c r="K355" s="6" t="str">
        <f>IFERROR(__xludf.DUMMYFUNCTION("""COMPUTED_VALUE"""),"Premium")</f>
        <v>Premium</v>
      </c>
      <c r="L355" s="6">
        <f>IFERROR(__xludf.DUMMYFUNCTION("""COMPUTED_VALUE"""),0.0)</f>
        <v>0</v>
      </c>
      <c r="M355" s="6" t="str">
        <f>IFERROR(__xludf.DUMMYFUNCTION("""COMPUTED_VALUE"""),"2023-07")</f>
        <v>2023-07</v>
      </c>
    </row>
    <row r="356">
      <c r="A356" s="6" t="str">
        <f>IFERROR(__xludf.DUMMYFUNCTION("""COMPUTED_VALUE"""),"564ae10a-665d-4517-b4eb-a27eaac43839")</f>
        <v>564ae10a-665d-4517-b4eb-a27eaac43839</v>
      </c>
      <c r="B356" s="6" t="str">
        <f>IFERROR(__xludf.DUMMYFUNCTION("""COMPUTED_VALUE"""),"a3cf5324-30cf-4b93-96e5-586b3b725f5e")</f>
        <v>a3cf5324-30cf-4b93-96e5-586b3b725f5e</v>
      </c>
      <c r="C356" s="7">
        <f>IFERROR(__xludf.DUMMYFUNCTION("""COMPUTED_VALUE"""),45092.0)</f>
        <v>45092</v>
      </c>
      <c r="D356" s="8">
        <f>IFERROR(__xludf.DUMMYFUNCTION("""COMPUTED_VALUE"""),5.5108881E7)</f>
        <v>55108881</v>
      </c>
      <c r="E356" s="6" t="str">
        <f>IFERROR(__xludf.DUMMYFUNCTION("""COMPUTED_VALUE"""),"SERIES")</f>
        <v>SERIES</v>
      </c>
      <c r="F356" s="6" t="str">
        <f>IFERROR(__xludf.DUMMYFUNCTION("""COMPUTED_VALUE"""),"Action")</f>
        <v>Action</v>
      </c>
      <c r="G356" s="6">
        <f>IFERROR(__xludf.DUMMYFUNCTION("""COMPUTED_VALUE"""),102.0)</f>
        <v>102</v>
      </c>
      <c r="H356" s="6">
        <f>IFERROR(__xludf.DUMMYFUNCTION("""COMPUTED_VALUE"""),0.0)</f>
        <v>0</v>
      </c>
      <c r="I356" s="6" t="str">
        <f>IFERROR(__xludf.DUMMYFUNCTION("""COMPUTED_VALUE"""),"Tablet")</f>
        <v>Tablet</v>
      </c>
      <c r="J356" s="6" t="str">
        <f>IFERROR(__xludf.DUMMYFUNCTION("""COMPUTED_VALUE"""),"France")</f>
        <v>France</v>
      </c>
      <c r="K356" s="6" t="str">
        <f>IFERROR(__xludf.DUMMYFUNCTION("""COMPUTED_VALUE"""),"Premium")</f>
        <v>Premium</v>
      </c>
      <c r="L356" s="6">
        <f>IFERROR(__xludf.DUMMYFUNCTION("""COMPUTED_VALUE"""),0.0)</f>
        <v>0</v>
      </c>
      <c r="M356" s="6" t="str">
        <f>IFERROR(__xludf.DUMMYFUNCTION("""COMPUTED_VALUE"""),"2023-06")</f>
        <v>2023-06</v>
      </c>
    </row>
    <row r="357">
      <c r="A357" s="6" t="str">
        <f>IFERROR(__xludf.DUMMYFUNCTION("""COMPUTED_VALUE"""),"72ad9dfb-1f24-4379-9b2d-87eb624c740a")</f>
        <v>72ad9dfb-1f24-4379-9b2d-87eb624c740a</v>
      </c>
      <c r="B357" s="6" t="str">
        <f>IFERROR(__xludf.DUMMYFUNCTION("""COMPUTED_VALUE"""),"a4118874-d703-47f2-975d-90c21b820dfe")</f>
        <v>a4118874-d703-47f2-975d-90c21b820dfe</v>
      </c>
      <c r="C357" s="7">
        <f>IFERROR(__xludf.DUMMYFUNCTION("""COMPUTED_VALUE"""),45208.0)</f>
        <v>45208</v>
      </c>
      <c r="D357" s="8">
        <f>IFERROR(__xludf.DUMMYFUNCTION("""COMPUTED_VALUE"""),1.5253095E7)</f>
        <v>15253095</v>
      </c>
      <c r="E357" s="6" t="str">
        <f>IFERROR(__xludf.DUMMYFUNCTION("""COMPUTED_VALUE"""),"SERIES")</f>
        <v>SERIES</v>
      </c>
      <c r="F357" s="6" t="str">
        <f>IFERROR(__xludf.DUMMYFUNCTION("""COMPUTED_VALUE"""),"Comedy")</f>
        <v>Comedy</v>
      </c>
      <c r="G357" s="6">
        <f>IFERROR(__xludf.DUMMYFUNCTION("""COMPUTED_VALUE"""),95.0)</f>
        <v>95</v>
      </c>
      <c r="H357" s="6">
        <f>IFERROR(__xludf.DUMMYFUNCTION("""COMPUTED_VALUE"""),1.0)</f>
        <v>1</v>
      </c>
      <c r="I357" s="6" t="str">
        <f>IFERROR(__xludf.DUMMYFUNCTION("""COMPUTED_VALUE"""),"Smart Tv")</f>
        <v>Smart Tv</v>
      </c>
      <c r="J357" s="6" t="str">
        <f>IFERROR(__xludf.DUMMYFUNCTION("""COMPUTED_VALUE"""),"Uk")</f>
        <v>Uk</v>
      </c>
      <c r="K357" s="6" t="str">
        <f>IFERROR(__xludf.DUMMYFUNCTION("""COMPUTED_VALUE"""),"Standard")</f>
        <v>Standard</v>
      </c>
      <c r="L357" s="6">
        <f>IFERROR(__xludf.DUMMYFUNCTION("""COMPUTED_VALUE"""),0.0)</f>
        <v>0</v>
      </c>
      <c r="M357" s="6" t="str">
        <f>IFERROR(__xludf.DUMMYFUNCTION("""COMPUTED_VALUE"""),"2023-10")</f>
        <v>2023-10</v>
      </c>
    </row>
    <row r="358">
      <c r="A358" s="6" t="str">
        <f>IFERROR(__xludf.DUMMYFUNCTION("""COMPUTED_VALUE"""),"866c73e8-7aae-4c5f-93be-7a0476f2aa3f")</f>
        <v>866c73e8-7aae-4c5f-93be-7a0476f2aa3f</v>
      </c>
      <c r="B358" s="6" t="str">
        <f>IFERROR(__xludf.DUMMYFUNCTION("""COMPUTED_VALUE"""),"a511c1cc-efd3-4d8c-a2e6-ba9e6fd38cda")</f>
        <v>a511c1cc-efd3-4d8c-a2e6-ba9e6fd38cda</v>
      </c>
      <c r="C358" s="7">
        <f>IFERROR(__xludf.DUMMYFUNCTION("""COMPUTED_VALUE"""),45228.0)</f>
        <v>45228</v>
      </c>
      <c r="D358" s="8">
        <f>IFERROR(__xludf.DUMMYFUNCTION("""COMPUTED_VALUE"""),5594160.0)</f>
        <v>5594160</v>
      </c>
      <c r="E358" s="6" t="str">
        <f>IFERROR(__xludf.DUMMYFUNCTION("""COMPUTED_VALUE"""),"MOVIE")</f>
        <v>MOVIE</v>
      </c>
      <c r="F358" s="6" t="str">
        <f>IFERROR(__xludf.DUMMYFUNCTION("""COMPUTED_VALUE"""),"Thriller")</f>
        <v>Thriller</v>
      </c>
      <c r="G358" s="6">
        <f>IFERROR(__xludf.DUMMYFUNCTION("""COMPUTED_VALUE"""),26.0)</f>
        <v>26</v>
      </c>
      <c r="H358" s="6">
        <f>IFERROR(__xludf.DUMMYFUNCTION("""COMPUTED_VALUE"""),1.0)</f>
        <v>1</v>
      </c>
      <c r="I358" s="6" t="str">
        <f>IFERROR(__xludf.DUMMYFUNCTION("""COMPUTED_VALUE"""),"Mobile")</f>
        <v>Mobile</v>
      </c>
      <c r="J358" s="6" t="str">
        <f>IFERROR(__xludf.DUMMYFUNCTION("""COMPUTED_VALUE"""),"Uk")</f>
        <v>Uk</v>
      </c>
      <c r="K358" s="6" t="str">
        <f>IFERROR(__xludf.DUMMYFUNCTION("""COMPUTED_VALUE"""),"Premium")</f>
        <v>Premium</v>
      </c>
      <c r="L358" s="6">
        <f>IFERROR(__xludf.DUMMYFUNCTION("""COMPUTED_VALUE"""),0.0)</f>
        <v>0</v>
      </c>
      <c r="M358" s="6" t="str">
        <f>IFERROR(__xludf.DUMMYFUNCTION("""COMPUTED_VALUE"""),"2023-10")</f>
        <v>2023-10</v>
      </c>
    </row>
    <row r="359">
      <c r="A359" s="6" t="str">
        <f>IFERROR(__xludf.DUMMYFUNCTION("""COMPUTED_VALUE"""),"2e4e8052-329d-4a1d-8634-adf6b18376d0")</f>
        <v>2e4e8052-329d-4a1d-8634-adf6b18376d0</v>
      </c>
      <c r="B359" s="6" t="str">
        <f>IFERROR(__xludf.DUMMYFUNCTION("""COMPUTED_VALUE"""),"a54389d5-bdda-4347-9ee6-44305be5c099")</f>
        <v>a54389d5-bdda-4347-9ee6-44305be5c099</v>
      </c>
      <c r="C359" s="7">
        <f>IFERROR(__xludf.DUMMYFUNCTION("""COMPUTED_VALUE"""),45210.0)</f>
        <v>45210</v>
      </c>
      <c r="D359" s="8">
        <f>IFERROR(__xludf.DUMMYFUNCTION("""COMPUTED_VALUE"""),8.1155224E7)</f>
        <v>81155224</v>
      </c>
      <c r="E359" s="6" t="str">
        <f>IFERROR(__xludf.DUMMYFUNCTION("""COMPUTED_VALUE"""),"SERIES")</f>
        <v>SERIES</v>
      </c>
      <c r="F359" s="6" t="str">
        <f>IFERROR(__xludf.DUMMYFUNCTION("""COMPUTED_VALUE"""),"Drama")</f>
        <v>Drama</v>
      </c>
      <c r="G359" s="6">
        <f>IFERROR(__xludf.DUMMYFUNCTION("""COMPUTED_VALUE"""),89.0)</f>
        <v>89</v>
      </c>
      <c r="H359" s="6">
        <f>IFERROR(__xludf.DUMMYFUNCTION("""COMPUTED_VALUE"""),0.0)</f>
        <v>0</v>
      </c>
      <c r="I359" s="6" t="str">
        <f>IFERROR(__xludf.DUMMYFUNCTION("""COMPUTED_VALUE"""),"Tablet")</f>
        <v>Tablet</v>
      </c>
      <c r="J359" s="6" t="str">
        <f>IFERROR(__xludf.DUMMYFUNCTION("""COMPUTED_VALUE"""),"Germany")</f>
        <v>Germany</v>
      </c>
      <c r="K359" s="6" t="str">
        <f>IFERROR(__xludf.DUMMYFUNCTION("""COMPUTED_VALUE"""),"Premium")</f>
        <v>Premium</v>
      </c>
      <c r="L359" s="6">
        <f>IFERROR(__xludf.DUMMYFUNCTION("""COMPUTED_VALUE"""),1.0)</f>
        <v>1</v>
      </c>
      <c r="M359" s="6" t="str">
        <f>IFERROR(__xludf.DUMMYFUNCTION("""COMPUTED_VALUE"""),"2023-10")</f>
        <v>2023-10</v>
      </c>
    </row>
    <row r="360">
      <c r="A360" s="6" t="str">
        <f>IFERROR(__xludf.DUMMYFUNCTION("""COMPUTED_VALUE"""),"5cc9a822-4d37-4593-9d48-6bf1914ca75a")</f>
        <v>5cc9a822-4d37-4593-9d48-6bf1914ca75a</v>
      </c>
      <c r="B360" s="6" t="str">
        <f>IFERROR(__xludf.DUMMYFUNCTION("""COMPUTED_VALUE"""),"a5c6a83d-9223-4b41-9aba-80c6ac6b8f89")</f>
        <v>a5c6a83d-9223-4b41-9aba-80c6ac6b8f89</v>
      </c>
      <c r="C360" s="7">
        <f>IFERROR(__xludf.DUMMYFUNCTION("""COMPUTED_VALUE"""),45073.0)</f>
        <v>45073</v>
      </c>
      <c r="D360" s="8">
        <f>IFERROR(__xludf.DUMMYFUNCTION("""COMPUTED_VALUE"""),5.5556835E7)</f>
        <v>55556835</v>
      </c>
      <c r="E360" s="6" t="str">
        <f>IFERROR(__xludf.DUMMYFUNCTION("""COMPUTED_VALUE"""),"DOCUMENTARY")</f>
        <v>DOCUMENTARY</v>
      </c>
      <c r="F360" s="6" t="str">
        <f>IFERROR(__xludf.DUMMYFUNCTION("""COMPUTED_VALUE"""),"Thriller")</f>
        <v>Thriller</v>
      </c>
      <c r="G360" s="6">
        <f>IFERROR(__xludf.DUMMYFUNCTION("""COMPUTED_VALUE"""),5.0)</f>
        <v>5</v>
      </c>
      <c r="H360" s="6">
        <f>IFERROR(__xludf.DUMMYFUNCTION("""COMPUTED_VALUE"""),0.0)</f>
        <v>0</v>
      </c>
      <c r="I360" s="6" t="str">
        <f>IFERROR(__xludf.DUMMYFUNCTION("""COMPUTED_VALUE"""),"Tablet")</f>
        <v>Tablet</v>
      </c>
      <c r="J360" s="6" t="str">
        <f>IFERROR(__xludf.DUMMYFUNCTION("""COMPUTED_VALUE"""),"France")</f>
        <v>France</v>
      </c>
      <c r="K360" s="6" t="str">
        <f>IFERROR(__xludf.DUMMYFUNCTION("""COMPUTED_VALUE"""),"Standard")</f>
        <v>Standard</v>
      </c>
      <c r="L360" s="6">
        <f>IFERROR(__xludf.DUMMYFUNCTION("""COMPUTED_VALUE"""),0.0)</f>
        <v>0</v>
      </c>
      <c r="M360" s="6" t="str">
        <f>IFERROR(__xludf.DUMMYFUNCTION("""COMPUTED_VALUE"""),"2023-05")</f>
        <v>2023-05</v>
      </c>
    </row>
    <row r="361">
      <c r="A361" s="6" t="str">
        <f>IFERROR(__xludf.DUMMYFUNCTION("""COMPUTED_VALUE"""),"686cdeaf-9dc7-41aa-8cd3-b640d87f8fab")</f>
        <v>686cdeaf-9dc7-41aa-8cd3-b640d87f8fab</v>
      </c>
      <c r="B361" s="6" t="str">
        <f>IFERROR(__xludf.DUMMYFUNCTION("""COMPUTED_VALUE"""),"a5e3c89f-2db3-4813-8888-08b9fc23e8aa")</f>
        <v>a5e3c89f-2db3-4813-8888-08b9fc23e8aa</v>
      </c>
      <c r="C361" s="7">
        <f>IFERROR(__xludf.DUMMYFUNCTION("""COMPUTED_VALUE"""),45215.0)</f>
        <v>45215</v>
      </c>
      <c r="D361" s="8">
        <f>IFERROR(__xludf.DUMMYFUNCTION("""COMPUTED_VALUE"""),5.0738403E7)</f>
        <v>50738403</v>
      </c>
      <c r="E361" s="6" t="str">
        <f>IFERROR(__xludf.DUMMYFUNCTION("""COMPUTED_VALUE"""),"SERIES")</f>
        <v>SERIES</v>
      </c>
      <c r="F361" s="6" t="str">
        <f>IFERROR(__xludf.DUMMYFUNCTION("""COMPUTED_VALUE"""),"Thriller")</f>
        <v>Thriller</v>
      </c>
      <c r="G361" s="6">
        <f>IFERROR(__xludf.DUMMYFUNCTION("""COMPUTED_VALUE"""),169.0)</f>
        <v>169</v>
      </c>
      <c r="H361" s="6">
        <f>IFERROR(__xludf.DUMMYFUNCTION("""COMPUTED_VALUE"""),1.0)</f>
        <v>1</v>
      </c>
      <c r="I361" s="6" t="str">
        <f>IFERROR(__xludf.DUMMYFUNCTION("""COMPUTED_VALUE"""),"Smart Tv")</f>
        <v>Smart Tv</v>
      </c>
      <c r="J361" s="6" t="str">
        <f>IFERROR(__xludf.DUMMYFUNCTION("""COMPUTED_VALUE"""),"Germany")</f>
        <v>Germany</v>
      </c>
      <c r="K361" s="6" t="str">
        <f>IFERROR(__xludf.DUMMYFUNCTION("""COMPUTED_VALUE"""),"Basic")</f>
        <v>Basic</v>
      </c>
      <c r="L361" s="6">
        <f>IFERROR(__xludf.DUMMYFUNCTION("""COMPUTED_VALUE"""),1.0)</f>
        <v>1</v>
      </c>
      <c r="M361" s="6" t="str">
        <f>IFERROR(__xludf.DUMMYFUNCTION("""COMPUTED_VALUE"""),"2023-10")</f>
        <v>2023-10</v>
      </c>
    </row>
    <row r="362">
      <c r="A362" s="6" t="str">
        <f>IFERROR(__xludf.DUMMYFUNCTION("""COMPUTED_VALUE"""),"43452a22-656f-40e6-b691-025e43b0f2d3")</f>
        <v>43452a22-656f-40e6-b691-025e43b0f2d3</v>
      </c>
      <c r="B362" s="6" t="str">
        <f>IFERROR(__xludf.DUMMYFUNCTION("""COMPUTED_VALUE"""),"a67080d3-1fc2-49f7-ad98-17930165eb74")</f>
        <v>a67080d3-1fc2-49f7-ad98-17930165eb74</v>
      </c>
      <c r="C362" s="7">
        <f>IFERROR(__xludf.DUMMYFUNCTION("""COMPUTED_VALUE"""),44942.0)</f>
        <v>44942</v>
      </c>
      <c r="D362" s="8">
        <f>IFERROR(__xludf.DUMMYFUNCTION("""COMPUTED_VALUE"""),9.21244E7)</f>
        <v>92124400</v>
      </c>
      <c r="E362" s="6" t="str">
        <f>IFERROR(__xludf.DUMMYFUNCTION("""COMPUTED_VALUE"""),"MOVIE")</f>
        <v>MOVIE</v>
      </c>
      <c r="F362" s="6" t="str">
        <f>IFERROR(__xludf.DUMMYFUNCTION("""COMPUTED_VALUE"""),"Sci-Fi")</f>
        <v>Sci-Fi</v>
      </c>
      <c r="G362" s="6">
        <f>IFERROR(__xludf.DUMMYFUNCTION("""COMPUTED_VALUE"""),64.0)</f>
        <v>64</v>
      </c>
      <c r="H362" s="6">
        <f>IFERROR(__xludf.DUMMYFUNCTION("""COMPUTED_VALUE"""),0.0)</f>
        <v>0</v>
      </c>
      <c r="I362" s="6" t="str">
        <f>IFERROR(__xludf.DUMMYFUNCTION("""COMPUTED_VALUE"""),"Mobile")</f>
        <v>Mobile</v>
      </c>
      <c r="J362" s="6" t="str">
        <f>IFERROR(__xludf.DUMMYFUNCTION("""COMPUTED_VALUE"""),"Germany")</f>
        <v>Germany</v>
      </c>
      <c r="K362" s="6" t="str">
        <f>IFERROR(__xludf.DUMMYFUNCTION("""COMPUTED_VALUE"""),"Basic")</f>
        <v>Basic</v>
      </c>
      <c r="L362" s="6">
        <f>IFERROR(__xludf.DUMMYFUNCTION("""COMPUTED_VALUE"""),0.0)</f>
        <v>0</v>
      </c>
      <c r="M362" s="6" t="str">
        <f>IFERROR(__xludf.DUMMYFUNCTION("""COMPUTED_VALUE"""),"2023-01")</f>
        <v>2023-01</v>
      </c>
    </row>
    <row r="363">
      <c r="A363" s="6" t="str">
        <f>IFERROR(__xludf.DUMMYFUNCTION("""COMPUTED_VALUE"""),"c524eafd-3d9d-4ef3-b9c1-85a6c57745be")</f>
        <v>c524eafd-3d9d-4ef3-b9c1-85a6c57745be</v>
      </c>
      <c r="B363" s="6" t="str">
        <f>IFERROR(__xludf.DUMMYFUNCTION("""COMPUTED_VALUE"""),"a680621f-be70-4c41-9ee6-baf80f02ef60")</f>
        <v>a680621f-be70-4c41-9ee6-baf80f02ef60</v>
      </c>
      <c r="C363" s="7">
        <f>IFERROR(__xludf.DUMMYFUNCTION("""COMPUTED_VALUE"""),44962.0)</f>
        <v>44962</v>
      </c>
      <c r="D363" s="8">
        <f>IFERROR(__xludf.DUMMYFUNCTION("""COMPUTED_VALUE"""),8.0511557E7)</f>
        <v>80511557</v>
      </c>
      <c r="E363" s="6" t="str">
        <f>IFERROR(__xludf.DUMMYFUNCTION("""COMPUTED_VALUE"""),"MOVIE")</f>
        <v>MOVIE</v>
      </c>
      <c r="F363" s="6" t="str">
        <f>IFERROR(__xludf.DUMMYFUNCTION("""COMPUTED_VALUE"""),"Drama")</f>
        <v>Drama</v>
      </c>
      <c r="G363" s="6">
        <f>IFERROR(__xludf.DUMMYFUNCTION("""COMPUTED_VALUE"""),106.0)</f>
        <v>106</v>
      </c>
      <c r="H363" s="6">
        <f>IFERROR(__xludf.DUMMYFUNCTION("""COMPUTED_VALUE"""),1.0)</f>
        <v>1</v>
      </c>
      <c r="I363" s="6" t="str">
        <f>IFERROR(__xludf.DUMMYFUNCTION("""COMPUTED_VALUE"""),"Smart Tv")</f>
        <v>Smart Tv</v>
      </c>
      <c r="J363" s="6" t="str">
        <f>IFERROR(__xludf.DUMMYFUNCTION("""COMPUTED_VALUE"""),"Uk")</f>
        <v>Uk</v>
      </c>
      <c r="K363" s="6" t="str">
        <f>IFERROR(__xludf.DUMMYFUNCTION("""COMPUTED_VALUE"""),"Basic")</f>
        <v>Basic</v>
      </c>
      <c r="L363" s="6">
        <f>IFERROR(__xludf.DUMMYFUNCTION("""COMPUTED_VALUE"""),0.0)</f>
        <v>0</v>
      </c>
      <c r="M363" s="6" t="str">
        <f>IFERROR(__xludf.DUMMYFUNCTION("""COMPUTED_VALUE"""),"2023-02")</f>
        <v>2023-02</v>
      </c>
    </row>
    <row r="364">
      <c r="A364" s="6" t="str">
        <f>IFERROR(__xludf.DUMMYFUNCTION("""COMPUTED_VALUE"""),"f81255fb-4d0e-4725-b837-0ac908c61717")</f>
        <v>f81255fb-4d0e-4725-b837-0ac908c61717</v>
      </c>
      <c r="B364" s="6" t="str">
        <f>IFERROR(__xludf.DUMMYFUNCTION("""COMPUTED_VALUE"""),"a684dea0-26d4-49e6-8d11-3e4d6153cd45")</f>
        <v>a684dea0-26d4-49e6-8d11-3e4d6153cd45</v>
      </c>
      <c r="C364" s="7">
        <f>IFERROR(__xludf.DUMMYFUNCTION("""COMPUTED_VALUE"""),44938.0)</f>
        <v>44938</v>
      </c>
      <c r="D364" s="8">
        <f>IFERROR(__xludf.DUMMYFUNCTION("""COMPUTED_VALUE"""),7.631085E7)</f>
        <v>76310850</v>
      </c>
      <c r="E364" s="6" t="str">
        <f>IFERROR(__xludf.DUMMYFUNCTION("""COMPUTED_VALUE"""),"DOCUMENTARY")</f>
        <v>DOCUMENTARY</v>
      </c>
      <c r="F364" s="6" t="str">
        <f>IFERROR(__xludf.DUMMYFUNCTION("""COMPUTED_VALUE"""),"Action")</f>
        <v>Action</v>
      </c>
      <c r="G364" s="6">
        <f>IFERROR(__xludf.DUMMYFUNCTION("""COMPUTED_VALUE"""),110.0)</f>
        <v>110</v>
      </c>
      <c r="H364" s="6">
        <f>IFERROR(__xludf.DUMMYFUNCTION("""COMPUTED_VALUE"""),1.0)</f>
        <v>1</v>
      </c>
      <c r="I364" s="6" t="str">
        <f>IFERROR(__xludf.DUMMYFUNCTION("""COMPUTED_VALUE"""),"Mobile")</f>
        <v>Mobile</v>
      </c>
      <c r="J364" s="6" t="str">
        <f>IFERROR(__xludf.DUMMYFUNCTION("""COMPUTED_VALUE"""),"Usa")</f>
        <v>Usa</v>
      </c>
      <c r="K364" s="6" t="str">
        <f>IFERROR(__xludf.DUMMYFUNCTION("""COMPUTED_VALUE"""),"Standard")</f>
        <v>Standard</v>
      </c>
      <c r="L364" s="6">
        <f>IFERROR(__xludf.DUMMYFUNCTION("""COMPUTED_VALUE"""),0.0)</f>
        <v>0</v>
      </c>
      <c r="M364" s="6" t="str">
        <f>IFERROR(__xludf.DUMMYFUNCTION("""COMPUTED_VALUE"""),"2023-01")</f>
        <v>2023-01</v>
      </c>
    </row>
    <row r="365">
      <c r="A365" s="6" t="str">
        <f>IFERROR(__xludf.DUMMYFUNCTION("""COMPUTED_VALUE"""),"539498a7-9e68-4423-a2eb-0802e4c83737")</f>
        <v>539498a7-9e68-4423-a2eb-0802e4c83737</v>
      </c>
      <c r="B365" s="6" t="str">
        <f>IFERROR(__xludf.DUMMYFUNCTION("""COMPUTED_VALUE"""),"a6ba15d6-a7a5-4dc4-a4e3-80a48aee7c2f")</f>
        <v>a6ba15d6-a7a5-4dc4-a4e3-80a48aee7c2f</v>
      </c>
      <c r="C365" s="7">
        <f>IFERROR(__xludf.DUMMYFUNCTION("""COMPUTED_VALUE"""),45018.0)</f>
        <v>45018</v>
      </c>
      <c r="D365" s="8">
        <f>IFERROR(__xludf.DUMMYFUNCTION("""COMPUTED_VALUE"""),6.9542442E7)</f>
        <v>69542442</v>
      </c>
      <c r="E365" s="6" t="str">
        <f>IFERROR(__xludf.DUMMYFUNCTION("""COMPUTED_VALUE"""),"SERIES")</f>
        <v>SERIES</v>
      </c>
      <c r="F365" s="6" t="str">
        <f>IFERROR(__xludf.DUMMYFUNCTION("""COMPUTED_VALUE"""),"Comedy")</f>
        <v>Comedy</v>
      </c>
      <c r="G365" s="6">
        <f>IFERROR(__xludf.DUMMYFUNCTION("""COMPUTED_VALUE"""),132.0)</f>
        <v>132</v>
      </c>
      <c r="H365" s="6">
        <f>IFERROR(__xludf.DUMMYFUNCTION("""COMPUTED_VALUE"""),1.0)</f>
        <v>1</v>
      </c>
      <c r="I365" s="6" t="str">
        <f>IFERROR(__xludf.DUMMYFUNCTION("""COMPUTED_VALUE"""),"Mobile")</f>
        <v>Mobile</v>
      </c>
      <c r="J365" s="6" t="str">
        <f>IFERROR(__xludf.DUMMYFUNCTION("""COMPUTED_VALUE"""),"Uk")</f>
        <v>Uk</v>
      </c>
      <c r="K365" s="6" t="str">
        <f>IFERROR(__xludf.DUMMYFUNCTION("""COMPUTED_VALUE"""),"Premium")</f>
        <v>Premium</v>
      </c>
      <c r="L365" s="6">
        <f>IFERROR(__xludf.DUMMYFUNCTION("""COMPUTED_VALUE"""),0.0)</f>
        <v>0</v>
      </c>
      <c r="M365" s="6" t="str">
        <f>IFERROR(__xludf.DUMMYFUNCTION("""COMPUTED_VALUE"""),"2023-04")</f>
        <v>2023-04</v>
      </c>
    </row>
    <row r="366">
      <c r="A366" s="6" t="str">
        <f>IFERROR(__xludf.DUMMYFUNCTION("""COMPUTED_VALUE"""),"9a5b623b-103d-472e-905e-db7dba728d7a")</f>
        <v>9a5b623b-103d-472e-905e-db7dba728d7a</v>
      </c>
      <c r="B366" s="6" t="str">
        <f>IFERROR(__xludf.DUMMYFUNCTION("""COMPUTED_VALUE"""),"a7fe6787-3535-470d-84f7-d6347edf453a")</f>
        <v>a7fe6787-3535-470d-84f7-d6347edf453a</v>
      </c>
      <c r="C366" s="7">
        <f>IFERROR(__xludf.DUMMYFUNCTION("""COMPUTED_VALUE"""),45246.0)</f>
        <v>45246</v>
      </c>
      <c r="D366" s="8">
        <f>IFERROR(__xludf.DUMMYFUNCTION("""COMPUTED_VALUE"""),6.9612237E7)</f>
        <v>69612237</v>
      </c>
      <c r="E366" s="6" t="str">
        <f>IFERROR(__xludf.DUMMYFUNCTION("""COMPUTED_VALUE"""),"SERIES")</f>
        <v>SERIES</v>
      </c>
      <c r="F366" s="6" t="str">
        <f>IFERROR(__xludf.DUMMYFUNCTION("""COMPUTED_VALUE"""),"Drama")</f>
        <v>Drama</v>
      </c>
      <c r="G366" s="6">
        <f>IFERROR(__xludf.DUMMYFUNCTION("""COMPUTED_VALUE"""),21.0)</f>
        <v>21</v>
      </c>
      <c r="H366" s="6">
        <f>IFERROR(__xludf.DUMMYFUNCTION("""COMPUTED_VALUE"""),1.0)</f>
        <v>1</v>
      </c>
      <c r="I366" s="6" t="str">
        <f>IFERROR(__xludf.DUMMYFUNCTION("""COMPUTED_VALUE"""),"Desktop")</f>
        <v>Desktop</v>
      </c>
      <c r="J366" s="6" t="str">
        <f>IFERROR(__xludf.DUMMYFUNCTION("""COMPUTED_VALUE"""),"France")</f>
        <v>France</v>
      </c>
      <c r="K366" s="6" t="str">
        <f>IFERROR(__xludf.DUMMYFUNCTION("""COMPUTED_VALUE"""),"Premium")</f>
        <v>Premium</v>
      </c>
      <c r="L366" s="6">
        <f>IFERROR(__xludf.DUMMYFUNCTION("""COMPUTED_VALUE"""),0.0)</f>
        <v>0</v>
      </c>
      <c r="M366" s="6" t="str">
        <f>IFERROR(__xludf.DUMMYFUNCTION("""COMPUTED_VALUE"""),"2023-11")</f>
        <v>2023-11</v>
      </c>
    </row>
    <row r="367">
      <c r="A367" s="6" t="str">
        <f>IFERROR(__xludf.DUMMYFUNCTION("""COMPUTED_VALUE"""),"100399b3-780a-4542-a863-8abb8a0f4fa5")</f>
        <v>100399b3-780a-4542-a863-8abb8a0f4fa5</v>
      </c>
      <c r="B367" s="6" t="str">
        <f>IFERROR(__xludf.DUMMYFUNCTION("""COMPUTED_VALUE"""),"a81d3e22-adbf-4be7-9a37-d1c88df7ba5b")</f>
        <v>a81d3e22-adbf-4be7-9a37-d1c88df7ba5b</v>
      </c>
      <c r="C367" s="7">
        <f>IFERROR(__xludf.DUMMYFUNCTION("""COMPUTED_VALUE"""),45066.0)</f>
        <v>45066</v>
      </c>
      <c r="D367" s="8">
        <f>IFERROR(__xludf.DUMMYFUNCTION("""COMPUTED_VALUE"""),3.5087052E7)</f>
        <v>35087052</v>
      </c>
      <c r="E367" s="6" t="str">
        <f>IFERROR(__xludf.DUMMYFUNCTION("""COMPUTED_VALUE"""),"MOVIE")</f>
        <v>MOVIE</v>
      </c>
      <c r="F367" s="6" t="str">
        <f>IFERROR(__xludf.DUMMYFUNCTION("""COMPUTED_VALUE"""),"Thriller")</f>
        <v>Thriller</v>
      </c>
      <c r="G367" s="6">
        <f>IFERROR(__xludf.DUMMYFUNCTION("""COMPUTED_VALUE"""),48.0)</f>
        <v>48</v>
      </c>
      <c r="H367" s="6">
        <f>IFERROR(__xludf.DUMMYFUNCTION("""COMPUTED_VALUE"""),1.0)</f>
        <v>1</v>
      </c>
      <c r="I367" s="6" t="str">
        <f>IFERROR(__xludf.DUMMYFUNCTION("""COMPUTED_VALUE"""),"Tablet")</f>
        <v>Tablet</v>
      </c>
      <c r="J367" s="6" t="str">
        <f>IFERROR(__xludf.DUMMYFUNCTION("""COMPUTED_VALUE"""),"Uk")</f>
        <v>Uk</v>
      </c>
      <c r="K367" s="6" t="str">
        <f>IFERROR(__xludf.DUMMYFUNCTION("""COMPUTED_VALUE"""),"Standard")</f>
        <v>Standard</v>
      </c>
      <c r="L367" s="6">
        <f>IFERROR(__xludf.DUMMYFUNCTION("""COMPUTED_VALUE"""),0.0)</f>
        <v>0</v>
      </c>
      <c r="M367" s="6" t="str">
        <f>IFERROR(__xludf.DUMMYFUNCTION("""COMPUTED_VALUE"""),"2023-05")</f>
        <v>2023-05</v>
      </c>
    </row>
    <row r="368">
      <c r="A368" s="6" t="str">
        <f>IFERROR(__xludf.DUMMYFUNCTION("""COMPUTED_VALUE"""),"a34c5791-2aa4-4217-ad84-bee55bd37868")</f>
        <v>a34c5791-2aa4-4217-ad84-bee55bd37868</v>
      </c>
      <c r="B368" s="6" t="str">
        <f>IFERROR(__xludf.DUMMYFUNCTION("""COMPUTED_VALUE"""),"a82f5c7e-aeb5-42c3-ae69-5b3f4a17ad31")</f>
        <v>a82f5c7e-aeb5-42c3-ae69-5b3f4a17ad31</v>
      </c>
      <c r="C368" s="7">
        <f>IFERROR(__xludf.DUMMYFUNCTION("""COMPUTED_VALUE"""),45041.0)</f>
        <v>45041</v>
      </c>
      <c r="D368" s="8">
        <f>IFERROR(__xludf.DUMMYFUNCTION("""COMPUTED_VALUE"""),5.6939804E7)</f>
        <v>56939804</v>
      </c>
      <c r="E368" s="6" t="str">
        <f>IFERROR(__xludf.DUMMYFUNCTION("""COMPUTED_VALUE"""),"DOCUMENTARY")</f>
        <v>DOCUMENTARY</v>
      </c>
      <c r="F368" s="6" t="str">
        <f>IFERROR(__xludf.DUMMYFUNCTION("""COMPUTED_VALUE"""),"Thriller")</f>
        <v>Thriller</v>
      </c>
      <c r="G368" s="6">
        <f>IFERROR(__xludf.DUMMYFUNCTION("""COMPUTED_VALUE"""),158.0)</f>
        <v>158</v>
      </c>
      <c r="H368" s="6">
        <f>IFERROR(__xludf.DUMMYFUNCTION("""COMPUTED_VALUE"""),1.0)</f>
        <v>1</v>
      </c>
      <c r="I368" s="6" t="str">
        <f>IFERROR(__xludf.DUMMYFUNCTION("""COMPUTED_VALUE"""),"Mobile")</f>
        <v>Mobile</v>
      </c>
      <c r="J368" s="6" t="str">
        <f>IFERROR(__xludf.DUMMYFUNCTION("""COMPUTED_VALUE"""),"France")</f>
        <v>France</v>
      </c>
      <c r="K368" s="6" t="str">
        <f>IFERROR(__xludf.DUMMYFUNCTION("""COMPUTED_VALUE"""),"Premium")</f>
        <v>Premium</v>
      </c>
      <c r="L368" s="6">
        <f>IFERROR(__xludf.DUMMYFUNCTION("""COMPUTED_VALUE"""),0.0)</f>
        <v>0</v>
      </c>
      <c r="M368" s="6" t="str">
        <f>IFERROR(__xludf.DUMMYFUNCTION("""COMPUTED_VALUE"""),"2023-04")</f>
        <v>2023-04</v>
      </c>
    </row>
    <row r="369">
      <c r="A369" s="6" t="str">
        <f>IFERROR(__xludf.DUMMYFUNCTION("""COMPUTED_VALUE"""),"8a624be8-c7e2-4825-8fd2-64ff06fb6410")</f>
        <v>8a624be8-c7e2-4825-8fd2-64ff06fb6410</v>
      </c>
      <c r="B369" s="6" t="str">
        <f>IFERROR(__xludf.DUMMYFUNCTION("""COMPUTED_VALUE"""),"a89f2676-889f-4930-95da-a31b2321f0fe")</f>
        <v>a89f2676-889f-4930-95da-a31b2321f0fe</v>
      </c>
      <c r="C369" s="7">
        <f>IFERROR(__xludf.DUMMYFUNCTION("""COMPUTED_VALUE"""),45221.0)</f>
        <v>45221</v>
      </c>
      <c r="D369" s="8">
        <f>IFERROR(__xludf.DUMMYFUNCTION("""COMPUTED_VALUE"""),2292595.0)</f>
        <v>2292595</v>
      </c>
      <c r="E369" s="6" t="str">
        <f>IFERROR(__xludf.DUMMYFUNCTION("""COMPUTED_VALUE"""),"SERIES")</f>
        <v>SERIES</v>
      </c>
      <c r="F369" s="6" t="str">
        <f>IFERROR(__xludf.DUMMYFUNCTION("""COMPUTED_VALUE"""),"Thriller")</f>
        <v>Thriller</v>
      </c>
      <c r="G369" s="6">
        <f>IFERROR(__xludf.DUMMYFUNCTION("""COMPUTED_VALUE"""),71.0)</f>
        <v>71</v>
      </c>
      <c r="H369" s="6">
        <f>IFERROR(__xludf.DUMMYFUNCTION("""COMPUTED_VALUE"""),0.0)</f>
        <v>0</v>
      </c>
      <c r="I369" s="6" t="str">
        <f>IFERROR(__xludf.DUMMYFUNCTION("""COMPUTED_VALUE"""),"Desktop")</f>
        <v>Desktop</v>
      </c>
      <c r="J369" s="6" t="str">
        <f>IFERROR(__xludf.DUMMYFUNCTION("""COMPUTED_VALUE"""),"Usa")</f>
        <v>Usa</v>
      </c>
      <c r="K369" s="6" t="str">
        <f>IFERROR(__xludf.DUMMYFUNCTION("""COMPUTED_VALUE"""),"Basic")</f>
        <v>Basic</v>
      </c>
      <c r="L369" s="6">
        <f>IFERROR(__xludf.DUMMYFUNCTION("""COMPUTED_VALUE"""),0.0)</f>
        <v>0</v>
      </c>
      <c r="M369" s="6" t="str">
        <f>IFERROR(__xludf.DUMMYFUNCTION("""COMPUTED_VALUE"""),"2023-10")</f>
        <v>2023-10</v>
      </c>
    </row>
    <row r="370">
      <c r="A370" s="6" t="str">
        <f>IFERROR(__xludf.DUMMYFUNCTION("""COMPUTED_VALUE"""),"e9d6cff8-7b67-4167-9af2-8d3d76a9a58a")</f>
        <v>e9d6cff8-7b67-4167-9af2-8d3d76a9a58a</v>
      </c>
      <c r="B370" s="6" t="str">
        <f>IFERROR(__xludf.DUMMYFUNCTION("""COMPUTED_VALUE"""),"a99b639d-535c-4072-9d0d-0080c51c0c7a")</f>
        <v>a99b639d-535c-4072-9d0d-0080c51c0c7a</v>
      </c>
      <c r="C370" s="7">
        <f>IFERROR(__xludf.DUMMYFUNCTION("""COMPUTED_VALUE"""),45130.0)</f>
        <v>45130</v>
      </c>
      <c r="D370" s="8">
        <f>IFERROR(__xludf.DUMMYFUNCTION("""COMPUTED_VALUE"""),7.4217564E7)</f>
        <v>74217564</v>
      </c>
      <c r="E370" s="6" t="str">
        <f>IFERROR(__xludf.DUMMYFUNCTION("""COMPUTED_VALUE"""),"MOVIE")</f>
        <v>MOVIE</v>
      </c>
      <c r="F370" s="6" t="str">
        <f>IFERROR(__xludf.DUMMYFUNCTION("""COMPUTED_VALUE"""),"Thriller")</f>
        <v>Thriller</v>
      </c>
      <c r="G370" s="6">
        <f>IFERROR(__xludf.DUMMYFUNCTION("""COMPUTED_VALUE"""),66.0)</f>
        <v>66</v>
      </c>
      <c r="H370" s="6">
        <f>IFERROR(__xludf.DUMMYFUNCTION("""COMPUTED_VALUE"""),1.0)</f>
        <v>1</v>
      </c>
      <c r="I370" s="6" t="str">
        <f>IFERROR(__xludf.DUMMYFUNCTION("""COMPUTED_VALUE"""),"Tablet")</f>
        <v>Tablet</v>
      </c>
      <c r="J370" s="6" t="str">
        <f>IFERROR(__xludf.DUMMYFUNCTION("""COMPUTED_VALUE"""),"France")</f>
        <v>France</v>
      </c>
      <c r="K370" s="6" t="str">
        <f>IFERROR(__xludf.DUMMYFUNCTION("""COMPUTED_VALUE"""),"Premium")</f>
        <v>Premium</v>
      </c>
      <c r="L370" s="6">
        <f>IFERROR(__xludf.DUMMYFUNCTION("""COMPUTED_VALUE"""),1.0)</f>
        <v>1</v>
      </c>
      <c r="M370" s="6" t="str">
        <f>IFERROR(__xludf.DUMMYFUNCTION("""COMPUTED_VALUE"""),"2023-07")</f>
        <v>2023-07</v>
      </c>
    </row>
    <row r="371">
      <c r="A371" s="6" t="str">
        <f>IFERROR(__xludf.DUMMYFUNCTION("""COMPUTED_VALUE"""),"8ed3f8d9-e055-462c-ba06-b37ae73383ff")</f>
        <v>8ed3f8d9-e055-462c-ba06-b37ae73383ff</v>
      </c>
      <c r="B371" s="6" t="str">
        <f>IFERROR(__xludf.DUMMYFUNCTION("""COMPUTED_VALUE"""),"aa498f26-f057-452b-9ecb-139cbbd0bb3c")</f>
        <v>aa498f26-f057-452b-9ecb-139cbbd0bb3c</v>
      </c>
      <c r="C371" s="7">
        <f>IFERROR(__xludf.DUMMYFUNCTION("""COMPUTED_VALUE"""),45279.0)</f>
        <v>45279</v>
      </c>
      <c r="D371" s="8">
        <f>IFERROR(__xludf.DUMMYFUNCTION("""COMPUTED_VALUE"""),8.8009834E7)</f>
        <v>88009834</v>
      </c>
      <c r="E371" s="6" t="str">
        <f>IFERROR(__xludf.DUMMYFUNCTION("""COMPUTED_VALUE"""),"SERIES")</f>
        <v>SERIES</v>
      </c>
      <c r="F371" s="6" t="str">
        <f>IFERROR(__xludf.DUMMYFUNCTION("""COMPUTED_VALUE"""),"Action")</f>
        <v>Action</v>
      </c>
      <c r="G371" s="6">
        <f>IFERROR(__xludf.DUMMYFUNCTION("""COMPUTED_VALUE"""),32.0)</f>
        <v>32</v>
      </c>
      <c r="H371" s="6">
        <f>IFERROR(__xludf.DUMMYFUNCTION("""COMPUTED_VALUE"""),1.0)</f>
        <v>1</v>
      </c>
      <c r="I371" s="6" t="str">
        <f>IFERROR(__xludf.DUMMYFUNCTION("""COMPUTED_VALUE"""),"Tablet")</f>
        <v>Tablet</v>
      </c>
      <c r="J371" s="6" t="str">
        <f>IFERROR(__xludf.DUMMYFUNCTION("""COMPUTED_VALUE"""),"Usa")</f>
        <v>Usa</v>
      </c>
      <c r="K371" s="6" t="str">
        <f>IFERROR(__xludf.DUMMYFUNCTION("""COMPUTED_VALUE"""),"Premium")</f>
        <v>Premium</v>
      </c>
      <c r="L371" s="6">
        <f>IFERROR(__xludf.DUMMYFUNCTION("""COMPUTED_VALUE"""),0.0)</f>
        <v>0</v>
      </c>
      <c r="M371" s="6" t="str">
        <f>IFERROR(__xludf.DUMMYFUNCTION("""COMPUTED_VALUE"""),"2023-12")</f>
        <v>2023-12</v>
      </c>
    </row>
    <row r="372">
      <c r="A372" s="6" t="str">
        <f>IFERROR(__xludf.DUMMYFUNCTION("""COMPUTED_VALUE"""),"39ea86e7-a5b6-47d3-9344-741b6fdf26e8")</f>
        <v>39ea86e7-a5b6-47d3-9344-741b6fdf26e8</v>
      </c>
      <c r="B372" s="6" t="str">
        <f>IFERROR(__xludf.DUMMYFUNCTION("""COMPUTED_VALUE"""),"aab7f690-8b84-428e-8526-41ceb792e2e8")</f>
        <v>aab7f690-8b84-428e-8526-41ceb792e2e8</v>
      </c>
      <c r="C372" s="7">
        <f>IFERROR(__xludf.DUMMYFUNCTION("""COMPUTED_VALUE"""),44985.0)</f>
        <v>44985</v>
      </c>
      <c r="D372" s="8">
        <f>IFERROR(__xludf.DUMMYFUNCTION("""COMPUTED_VALUE"""),6.9257834E7)</f>
        <v>69257834</v>
      </c>
      <c r="E372" s="6" t="str">
        <f>IFERROR(__xludf.DUMMYFUNCTION("""COMPUTED_VALUE"""),"SERIES")</f>
        <v>SERIES</v>
      </c>
      <c r="F372" s="6" t="str">
        <f>IFERROR(__xludf.DUMMYFUNCTION("""COMPUTED_VALUE"""),"Action")</f>
        <v>Action</v>
      </c>
      <c r="G372" s="6">
        <f>IFERROR(__xludf.DUMMYFUNCTION("""COMPUTED_VALUE"""),69.0)</f>
        <v>69</v>
      </c>
      <c r="H372" s="6">
        <f>IFERROR(__xludf.DUMMYFUNCTION("""COMPUTED_VALUE"""),1.0)</f>
        <v>1</v>
      </c>
      <c r="I372" s="6" t="str">
        <f>IFERROR(__xludf.DUMMYFUNCTION("""COMPUTED_VALUE"""),"Desktop")</f>
        <v>Desktop</v>
      </c>
      <c r="J372" s="6" t="str">
        <f>IFERROR(__xludf.DUMMYFUNCTION("""COMPUTED_VALUE"""),"France")</f>
        <v>France</v>
      </c>
      <c r="K372" s="6" t="str">
        <f>IFERROR(__xludf.DUMMYFUNCTION("""COMPUTED_VALUE"""),"Premium")</f>
        <v>Premium</v>
      </c>
      <c r="L372" s="6">
        <f>IFERROR(__xludf.DUMMYFUNCTION("""COMPUTED_VALUE"""),0.0)</f>
        <v>0</v>
      </c>
      <c r="M372" s="6" t="str">
        <f>IFERROR(__xludf.DUMMYFUNCTION("""COMPUTED_VALUE"""),"2023-02")</f>
        <v>2023-02</v>
      </c>
    </row>
    <row r="373">
      <c r="A373" s="6" t="str">
        <f>IFERROR(__xludf.DUMMYFUNCTION("""COMPUTED_VALUE"""),"17c5c2b4-85b0-4402-b177-5bb861c00eee")</f>
        <v>17c5c2b4-85b0-4402-b177-5bb861c00eee</v>
      </c>
      <c r="B373" s="6" t="str">
        <f>IFERROR(__xludf.DUMMYFUNCTION("""COMPUTED_VALUE"""),"aae28553-7ea3-450c-bd88-28da0401654b")</f>
        <v>aae28553-7ea3-450c-bd88-28da0401654b</v>
      </c>
      <c r="C373" s="7">
        <f>IFERROR(__xludf.DUMMYFUNCTION("""COMPUTED_VALUE"""),45048.0)</f>
        <v>45048</v>
      </c>
      <c r="D373" s="8">
        <f>IFERROR(__xludf.DUMMYFUNCTION("""COMPUTED_VALUE"""),6.7110193E7)</f>
        <v>67110193</v>
      </c>
      <c r="E373" s="6" t="str">
        <f>IFERROR(__xludf.DUMMYFUNCTION("""COMPUTED_VALUE"""),"DOCUMENTARY")</f>
        <v>DOCUMENTARY</v>
      </c>
      <c r="F373" s="6" t="str">
        <f>IFERROR(__xludf.DUMMYFUNCTION("""COMPUTED_VALUE"""),"Sci-Fi")</f>
        <v>Sci-Fi</v>
      </c>
      <c r="G373" s="6">
        <f>IFERROR(__xludf.DUMMYFUNCTION("""COMPUTED_VALUE"""),11.0)</f>
        <v>11</v>
      </c>
      <c r="H373" s="6">
        <f>IFERROR(__xludf.DUMMYFUNCTION("""COMPUTED_VALUE"""),1.0)</f>
        <v>1</v>
      </c>
      <c r="I373" s="6" t="str">
        <f>IFERROR(__xludf.DUMMYFUNCTION("""COMPUTED_VALUE"""),"Tablet")</f>
        <v>Tablet</v>
      </c>
      <c r="J373" s="6" t="str">
        <f>IFERROR(__xludf.DUMMYFUNCTION("""COMPUTED_VALUE"""),"France")</f>
        <v>France</v>
      </c>
      <c r="K373" s="6" t="str">
        <f>IFERROR(__xludf.DUMMYFUNCTION("""COMPUTED_VALUE"""),"Basic")</f>
        <v>Basic</v>
      </c>
      <c r="L373" s="6">
        <f>IFERROR(__xludf.DUMMYFUNCTION("""COMPUTED_VALUE"""),0.0)</f>
        <v>0</v>
      </c>
      <c r="M373" s="6" t="str">
        <f>IFERROR(__xludf.DUMMYFUNCTION("""COMPUTED_VALUE"""),"2023-05")</f>
        <v>2023-05</v>
      </c>
    </row>
    <row r="374">
      <c r="A374" s="6" t="str">
        <f>IFERROR(__xludf.DUMMYFUNCTION("""COMPUTED_VALUE"""),"880b3ff9-f4b7-461d-a172-56a8de4452be")</f>
        <v>880b3ff9-f4b7-461d-a172-56a8de4452be</v>
      </c>
      <c r="B374" s="6" t="str">
        <f>IFERROR(__xludf.DUMMYFUNCTION("""COMPUTED_VALUE"""),"ab985a8a-908a-490a-8ccf-75209e59bec4")</f>
        <v>ab985a8a-908a-490a-8ccf-75209e59bec4</v>
      </c>
      <c r="C374" s="7">
        <f>IFERROR(__xludf.DUMMYFUNCTION("""COMPUTED_VALUE"""),45084.0)</f>
        <v>45084</v>
      </c>
      <c r="D374" s="8">
        <f>IFERROR(__xludf.DUMMYFUNCTION("""COMPUTED_VALUE"""),4.9561159E7)</f>
        <v>49561159</v>
      </c>
      <c r="E374" s="6" t="str">
        <f>IFERROR(__xludf.DUMMYFUNCTION("""COMPUTED_VALUE"""),"SERIES")</f>
        <v>SERIES</v>
      </c>
      <c r="F374" s="6" t="str">
        <f>IFERROR(__xludf.DUMMYFUNCTION("""COMPUTED_VALUE"""),"Action")</f>
        <v>Action</v>
      </c>
      <c r="G374" s="6">
        <f>IFERROR(__xludf.DUMMYFUNCTION("""COMPUTED_VALUE"""),93.0)</f>
        <v>93</v>
      </c>
      <c r="H374" s="6">
        <f>IFERROR(__xludf.DUMMYFUNCTION("""COMPUTED_VALUE"""),0.0)</f>
        <v>0</v>
      </c>
      <c r="I374" s="6" t="str">
        <f>IFERROR(__xludf.DUMMYFUNCTION("""COMPUTED_VALUE"""),"Smart Tv")</f>
        <v>Smart Tv</v>
      </c>
      <c r="J374" s="6" t="str">
        <f>IFERROR(__xludf.DUMMYFUNCTION("""COMPUTED_VALUE"""),"India")</f>
        <v>India</v>
      </c>
      <c r="K374" s="6" t="str">
        <f>IFERROR(__xludf.DUMMYFUNCTION("""COMPUTED_VALUE"""),"Basic")</f>
        <v>Basic</v>
      </c>
      <c r="L374" s="6">
        <f>IFERROR(__xludf.DUMMYFUNCTION("""COMPUTED_VALUE"""),0.0)</f>
        <v>0</v>
      </c>
      <c r="M374" s="6" t="str">
        <f>IFERROR(__xludf.DUMMYFUNCTION("""COMPUTED_VALUE"""),"2023-06")</f>
        <v>2023-06</v>
      </c>
    </row>
    <row r="375">
      <c r="A375" s="6" t="str">
        <f>IFERROR(__xludf.DUMMYFUNCTION("""COMPUTED_VALUE"""),"775e3686-8cb8-4d13-abf7-b8443a389781")</f>
        <v>775e3686-8cb8-4d13-abf7-b8443a389781</v>
      </c>
      <c r="B375" s="6" t="str">
        <f>IFERROR(__xludf.DUMMYFUNCTION("""COMPUTED_VALUE"""),"ac1980be-ac06-4dcf-89e3-e11601b6f594")</f>
        <v>ac1980be-ac06-4dcf-89e3-e11601b6f594</v>
      </c>
      <c r="C375" s="7">
        <f>IFERROR(__xludf.DUMMYFUNCTION("""COMPUTED_VALUE"""),45019.0)</f>
        <v>45019</v>
      </c>
      <c r="D375" s="8">
        <f>IFERROR(__xludf.DUMMYFUNCTION("""COMPUTED_VALUE"""),1.2899074E7)</f>
        <v>12899074</v>
      </c>
      <c r="E375" s="6" t="str">
        <f>IFERROR(__xludf.DUMMYFUNCTION("""COMPUTED_VALUE"""),"DOCUMENTARY")</f>
        <v>DOCUMENTARY</v>
      </c>
      <c r="F375" s="6" t="str">
        <f>IFERROR(__xludf.DUMMYFUNCTION("""COMPUTED_VALUE"""),"Sci-Fi")</f>
        <v>Sci-Fi</v>
      </c>
      <c r="G375" s="6">
        <f>IFERROR(__xludf.DUMMYFUNCTION("""COMPUTED_VALUE"""),128.0)</f>
        <v>128</v>
      </c>
      <c r="H375" s="6">
        <f>IFERROR(__xludf.DUMMYFUNCTION("""COMPUTED_VALUE"""),1.0)</f>
        <v>1</v>
      </c>
      <c r="I375" s="6" t="str">
        <f>IFERROR(__xludf.DUMMYFUNCTION("""COMPUTED_VALUE"""),"Tablet")</f>
        <v>Tablet</v>
      </c>
      <c r="J375" s="6" t="str">
        <f>IFERROR(__xludf.DUMMYFUNCTION("""COMPUTED_VALUE"""),"Usa")</f>
        <v>Usa</v>
      </c>
      <c r="K375" s="6" t="str">
        <f>IFERROR(__xludf.DUMMYFUNCTION("""COMPUTED_VALUE"""),"Premium")</f>
        <v>Premium</v>
      </c>
      <c r="L375" s="6">
        <f>IFERROR(__xludf.DUMMYFUNCTION("""COMPUTED_VALUE"""),0.0)</f>
        <v>0</v>
      </c>
      <c r="M375" s="6" t="str">
        <f>IFERROR(__xludf.DUMMYFUNCTION("""COMPUTED_VALUE"""),"2023-04")</f>
        <v>2023-04</v>
      </c>
    </row>
    <row r="376">
      <c r="A376" s="6" t="str">
        <f>IFERROR(__xludf.DUMMYFUNCTION("""COMPUTED_VALUE"""),"2471781c-3479-417b-a501-fa4c324c4c8d")</f>
        <v>2471781c-3479-417b-a501-fa4c324c4c8d</v>
      </c>
      <c r="B376" s="6" t="str">
        <f>IFERROR(__xludf.DUMMYFUNCTION("""COMPUTED_VALUE"""),"ac1e5641-dc89-46af-9fc4-6c45572d63da")</f>
        <v>ac1e5641-dc89-46af-9fc4-6c45572d63da</v>
      </c>
      <c r="C376" s="7">
        <f>IFERROR(__xludf.DUMMYFUNCTION("""COMPUTED_VALUE"""),45034.0)</f>
        <v>45034</v>
      </c>
      <c r="D376" s="8">
        <f>IFERROR(__xludf.DUMMYFUNCTION("""COMPUTED_VALUE"""),1.1980568E7)</f>
        <v>11980568</v>
      </c>
      <c r="E376" s="6" t="str">
        <f>IFERROR(__xludf.DUMMYFUNCTION("""COMPUTED_VALUE"""),"DOCUMENTARY")</f>
        <v>DOCUMENTARY</v>
      </c>
      <c r="F376" s="6" t="str">
        <f>IFERROR(__xludf.DUMMYFUNCTION("""COMPUTED_VALUE"""),"Drama")</f>
        <v>Drama</v>
      </c>
      <c r="G376" s="6">
        <f>IFERROR(__xludf.DUMMYFUNCTION("""COMPUTED_VALUE"""),104.0)</f>
        <v>104</v>
      </c>
      <c r="H376" s="6">
        <f>IFERROR(__xludf.DUMMYFUNCTION("""COMPUTED_VALUE"""),1.0)</f>
        <v>1</v>
      </c>
      <c r="I376" s="6" t="str">
        <f>IFERROR(__xludf.DUMMYFUNCTION("""COMPUTED_VALUE"""),"Tablet")</f>
        <v>Tablet</v>
      </c>
      <c r="J376" s="6" t="str">
        <f>IFERROR(__xludf.DUMMYFUNCTION("""COMPUTED_VALUE"""),"India")</f>
        <v>India</v>
      </c>
      <c r="K376" s="6" t="str">
        <f>IFERROR(__xludf.DUMMYFUNCTION("""COMPUTED_VALUE"""),"Standard")</f>
        <v>Standard</v>
      </c>
      <c r="L376" s="6">
        <f>IFERROR(__xludf.DUMMYFUNCTION("""COMPUTED_VALUE"""),0.0)</f>
        <v>0</v>
      </c>
      <c r="M376" s="6" t="str">
        <f>IFERROR(__xludf.DUMMYFUNCTION("""COMPUTED_VALUE"""),"2023-04")</f>
        <v>2023-04</v>
      </c>
    </row>
    <row r="377">
      <c r="A377" s="6" t="str">
        <f>IFERROR(__xludf.DUMMYFUNCTION("""COMPUTED_VALUE"""),"22ebc7ef-d2fc-445f-9484-ceb9c0ca0db3")</f>
        <v>22ebc7ef-d2fc-445f-9484-ceb9c0ca0db3</v>
      </c>
      <c r="B377" s="6" t="str">
        <f>IFERROR(__xludf.DUMMYFUNCTION("""COMPUTED_VALUE"""),"ad217155-31ef-4d1e-9a2b-3cfde1b2ff4c")</f>
        <v>ad217155-31ef-4d1e-9a2b-3cfde1b2ff4c</v>
      </c>
      <c r="C377" s="7">
        <f>IFERROR(__xludf.DUMMYFUNCTION("""COMPUTED_VALUE"""),45272.0)</f>
        <v>45272</v>
      </c>
      <c r="D377" s="8">
        <f>IFERROR(__xludf.DUMMYFUNCTION("""COMPUTED_VALUE"""),1.5369482E7)</f>
        <v>15369482</v>
      </c>
      <c r="E377" s="6" t="str">
        <f>IFERROR(__xludf.DUMMYFUNCTION("""COMPUTED_VALUE"""),"MOVIE")</f>
        <v>MOVIE</v>
      </c>
      <c r="F377" s="6" t="str">
        <f>IFERROR(__xludf.DUMMYFUNCTION("""COMPUTED_VALUE"""),"Thriller")</f>
        <v>Thriller</v>
      </c>
      <c r="G377" s="6">
        <f>IFERROR(__xludf.DUMMYFUNCTION("""COMPUTED_VALUE"""),125.0)</f>
        <v>125</v>
      </c>
      <c r="H377" s="6">
        <f>IFERROR(__xludf.DUMMYFUNCTION("""COMPUTED_VALUE"""),1.0)</f>
        <v>1</v>
      </c>
      <c r="I377" s="6" t="str">
        <f>IFERROR(__xludf.DUMMYFUNCTION("""COMPUTED_VALUE"""),"Tablet")</f>
        <v>Tablet</v>
      </c>
      <c r="J377" s="6" t="str">
        <f>IFERROR(__xludf.DUMMYFUNCTION("""COMPUTED_VALUE"""),"Uk")</f>
        <v>Uk</v>
      </c>
      <c r="K377" s="6" t="str">
        <f>IFERROR(__xludf.DUMMYFUNCTION("""COMPUTED_VALUE"""),"Premium")</f>
        <v>Premium</v>
      </c>
      <c r="L377" s="6">
        <f>IFERROR(__xludf.DUMMYFUNCTION("""COMPUTED_VALUE"""),1.0)</f>
        <v>1</v>
      </c>
      <c r="M377" s="6" t="str">
        <f>IFERROR(__xludf.DUMMYFUNCTION("""COMPUTED_VALUE"""),"2023-12")</f>
        <v>2023-12</v>
      </c>
    </row>
    <row r="378">
      <c r="A378" s="6" t="str">
        <f>IFERROR(__xludf.DUMMYFUNCTION("""COMPUTED_VALUE"""),"cadc401e-d21f-47ba-81c0-5eab71d12f7f")</f>
        <v>cadc401e-d21f-47ba-81c0-5eab71d12f7f</v>
      </c>
      <c r="B378" s="6" t="str">
        <f>IFERROR(__xludf.DUMMYFUNCTION("""COMPUTED_VALUE"""),"ad76e211-7f49-492c-ae95-f5b674bdbf67")</f>
        <v>ad76e211-7f49-492c-ae95-f5b674bdbf67</v>
      </c>
      <c r="C378" s="7">
        <f>IFERROR(__xludf.DUMMYFUNCTION("""COMPUTED_VALUE"""),45177.0)</f>
        <v>45177</v>
      </c>
      <c r="D378" s="8">
        <f>IFERROR(__xludf.DUMMYFUNCTION("""COMPUTED_VALUE"""),4.4807252E7)</f>
        <v>44807252</v>
      </c>
      <c r="E378" s="6" t="str">
        <f>IFERROR(__xludf.DUMMYFUNCTION("""COMPUTED_VALUE"""),"SERIES")</f>
        <v>SERIES</v>
      </c>
      <c r="F378" s="6" t="str">
        <f>IFERROR(__xludf.DUMMYFUNCTION("""COMPUTED_VALUE"""),"Action")</f>
        <v>Action</v>
      </c>
      <c r="G378" s="6">
        <f>IFERROR(__xludf.DUMMYFUNCTION("""COMPUTED_VALUE"""),174.0)</f>
        <v>174</v>
      </c>
      <c r="H378" s="6">
        <f>IFERROR(__xludf.DUMMYFUNCTION("""COMPUTED_VALUE"""),0.0)</f>
        <v>0</v>
      </c>
      <c r="I378" s="6" t="str">
        <f>IFERROR(__xludf.DUMMYFUNCTION("""COMPUTED_VALUE"""),"Smart Tv")</f>
        <v>Smart Tv</v>
      </c>
      <c r="J378" s="6" t="str">
        <f>IFERROR(__xludf.DUMMYFUNCTION("""COMPUTED_VALUE"""),"Germany")</f>
        <v>Germany</v>
      </c>
      <c r="K378" s="6" t="str">
        <f>IFERROR(__xludf.DUMMYFUNCTION("""COMPUTED_VALUE"""),"Standard")</f>
        <v>Standard</v>
      </c>
      <c r="L378" s="6">
        <f>IFERROR(__xludf.DUMMYFUNCTION("""COMPUTED_VALUE"""),0.0)</f>
        <v>0</v>
      </c>
      <c r="M378" s="6" t="str">
        <f>IFERROR(__xludf.DUMMYFUNCTION("""COMPUTED_VALUE"""),"2023-09")</f>
        <v>2023-09</v>
      </c>
    </row>
    <row r="379">
      <c r="A379" s="6" t="str">
        <f>IFERROR(__xludf.DUMMYFUNCTION("""COMPUTED_VALUE"""),"ae2d33bd-b46c-4a54-be80-def9ec644016")</f>
        <v>ae2d33bd-b46c-4a54-be80-def9ec644016</v>
      </c>
      <c r="B379" s="6" t="str">
        <f>IFERROR(__xludf.DUMMYFUNCTION("""COMPUTED_VALUE"""),"ad871fd6-1207-4abd-8dc2-0c67e81dec62")</f>
        <v>ad871fd6-1207-4abd-8dc2-0c67e81dec62</v>
      </c>
      <c r="C379" s="7">
        <f>IFERROR(__xludf.DUMMYFUNCTION("""COMPUTED_VALUE"""),45074.0)</f>
        <v>45074</v>
      </c>
      <c r="D379" s="8">
        <f>IFERROR(__xludf.DUMMYFUNCTION("""COMPUTED_VALUE"""),5.3878748E7)</f>
        <v>53878748</v>
      </c>
      <c r="E379" s="6" t="str">
        <f>IFERROR(__xludf.DUMMYFUNCTION("""COMPUTED_VALUE"""),"MOVIE")</f>
        <v>MOVIE</v>
      </c>
      <c r="F379" s="6" t="str">
        <f>IFERROR(__xludf.DUMMYFUNCTION("""COMPUTED_VALUE"""),"Sci-Fi")</f>
        <v>Sci-Fi</v>
      </c>
      <c r="G379" s="6">
        <f>IFERROR(__xludf.DUMMYFUNCTION("""COMPUTED_VALUE"""),42.0)</f>
        <v>42</v>
      </c>
      <c r="H379" s="6">
        <f>IFERROR(__xludf.DUMMYFUNCTION("""COMPUTED_VALUE"""),0.0)</f>
        <v>0</v>
      </c>
      <c r="I379" s="6" t="str">
        <f>IFERROR(__xludf.DUMMYFUNCTION("""COMPUTED_VALUE"""),"Smart Tv")</f>
        <v>Smart Tv</v>
      </c>
      <c r="J379" s="6" t="str">
        <f>IFERROR(__xludf.DUMMYFUNCTION("""COMPUTED_VALUE"""),"Usa")</f>
        <v>Usa</v>
      </c>
      <c r="K379" s="6" t="str">
        <f>IFERROR(__xludf.DUMMYFUNCTION("""COMPUTED_VALUE"""),"Premium")</f>
        <v>Premium</v>
      </c>
      <c r="L379" s="6">
        <f>IFERROR(__xludf.DUMMYFUNCTION("""COMPUTED_VALUE"""),0.0)</f>
        <v>0</v>
      </c>
      <c r="M379" s="6" t="str">
        <f>IFERROR(__xludf.DUMMYFUNCTION("""COMPUTED_VALUE"""),"2023-05")</f>
        <v>2023-05</v>
      </c>
    </row>
    <row r="380">
      <c r="A380" s="6" t="str">
        <f>IFERROR(__xludf.DUMMYFUNCTION("""COMPUTED_VALUE"""),"9de8f237-3d67-4462-b7fb-74c03a654040")</f>
        <v>9de8f237-3d67-4462-b7fb-74c03a654040</v>
      </c>
      <c r="B380" s="6" t="str">
        <f>IFERROR(__xludf.DUMMYFUNCTION("""COMPUTED_VALUE"""),"ae3abb7c-f8b8-4678-9e02-a39e24db81ce")</f>
        <v>ae3abb7c-f8b8-4678-9e02-a39e24db81ce</v>
      </c>
      <c r="C380" s="7">
        <f>IFERROR(__xludf.DUMMYFUNCTION("""COMPUTED_VALUE"""),45197.0)</f>
        <v>45197</v>
      </c>
      <c r="D380" s="8">
        <f>IFERROR(__xludf.DUMMYFUNCTION("""COMPUTED_VALUE"""),6.0277152E7)</f>
        <v>60277152</v>
      </c>
      <c r="E380" s="6" t="str">
        <f>IFERROR(__xludf.DUMMYFUNCTION("""COMPUTED_VALUE"""),"SERIES")</f>
        <v>SERIES</v>
      </c>
      <c r="F380" s="6" t="str">
        <f>IFERROR(__xludf.DUMMYFUNCTION("""COMPUTED_VALUE"""),"Thriller")</f>
        <v>Thriller</v>
      </c>
      <c r="G380" s="6">
        <f>IFERROR(__xludf.DUMMYFUNCTION("""COMPUTED_VALUE"""),153.0)</f>
        <v>153</v>
      </c>
      <c r="H380" s="6">
        <f>IFERROR(__xludf.DUMMYFUNCTION("""COMPUTED_VALUE"""),0.0)</f>
        <v>0</v>
      </c>
      <c r="I380" s="6" t="str">
        <f>IFERROR(__xludf.DUMMYFUNCTION("""COMPUTED_VALUE"""),"Mobile")</f>
        <v>Mobile</v>
      </c>
      <c r="J380" s="6" t="str">
        <f>IFERROR(__xludf.DUMMYFUNCTION("""COMPUTED_VALUE"""),"France")</f>
        <v>France</v>
      </c>
      <c r="K380" s="6" t="str">
        <f>IFERROR(__xludf.DUMMYFUNCTION("""COMPUTED_VALUE"""),"Premium")</f>
        <v>Premium</v>
      </c>
      <c r="L380" s="6">
        <f>IFERROR(__xludf.DUMMYFUNCTION("""COMPUTED_VALUE"""),0.0)</f>
        <v>0</v>
      </c>
      <c r="M380" s="6" t="str">
        <f>IFERROR(__xludf.DUMMYFUNCTION("""COMPUTED_VALUE"""),"2023-09")</f>
        <v>2023-09</v>
      </c>
    </row>
    <row r="381">
      <c r="A381" s="6" t="str">
        <f>IFERROR(__xludf.DUMMYFUNCTION("""COMPUTED_VALUE"""),"76d295c4-03f1-4e52-8ac6-6d0089e64011")</f>
        <v>76d295c4-03f1-4e52-8ac6-6d0089e64011</v>
      </c>
      <c r="B381" s="6" t="str">
        <f>IFERROR(__xludf.DUMMYFUNCTION("""COMPUTED_VALUE"""),"aeb518f8-eb3e-4906-aef0-e1bc1f57f4c8")</f>
        <v>aeb518f8-eb3e-4906-aef0-e1bc1f57f4c8</v>
      </c>
      <c r="C381" s="7">
        <f>IFERROR(__xludf.DUMMYFUNCTION("""COMPUTED_VALUE"""),45271.0)</f>
        <v>45271</v>
      </c>
      <c r="D381" s="8">
        <f>IFERROR(__xludf.DUMMYFUNCTION("""COMPUTED_VALUE"""),6269746.0)</f>
        <v>6269746</v>
      </c>
      <c r="E381" s="6" t="str">
        <f>IFERROR(__xludf.DUMMYFUNCTION("""COMPUTED_VALUE"""),"SERIES")</f>
        <v>SERIES</v>
      </c>
      <c r="F381" s="6" t="str">
        <f>IFERROR(__xludf.DUMMYFUNCTION("""COMPUTED_VALUE"""),"Thriller")</f>
        <v>Thriller</v>
      </c>
      <c r="G381" s="6">
        <f>IFERROR(__xludf.DUMMYFUNCTION("""COMPUTED_VALUE"""),76.0)</f>
        <v>76</v>
      </c>
      <c r="H381" s="6">
        <f>IFERROR(__xludf.DUMMYFUNCTION("""COMPUTED_VALUE"""),1.0)</f>
        <v>1</v>
      </c>
      <c r="I381" s="6" t="str">
        <f>IFERROR(__xludf.DUMMYFUNCTION("""COMPUTED_VALUE"""),"Smart Tv")</f>
        <v>Smart Tv</v>
      </c>
      <c r="J381" s="6" t="str">
        <f>IFERROR(__xludf.DUMMYFUNCTION("""COMPUTED_VALUE"""),"Uk")</f>
        <v>Uk</v>
      </c>
      <c r="K381" s="6" t="str">
        <f>IFERROR(__xludf.DUMMYFUNCTION("""COMPUTED_VALUE"""),"Standard")</f>
        <v>Standard</v>
      </c>
      <c r="L381" s="6">
        <f>IFERROR(__xludf.DUMMYFUNCTION("""COMPUTED_VALUE"""),1.0)</f>
        <v>1</v>
      </c>
      <c r="M381" s="6" t="str">
        <f>IFERROR(__xludf.DUMMYFUNCTION("""COMPUTED_VALUE"""),"2023-12")</f>
        <v>2023-12</v>
      </c>
    </row>
    <row r="382">
      <c r="A382" s="6" t="str">
        <f>IFERROR(__xludf.DUMMYFUNCTION("""COMPUTED_VALUE"""),"ea1af037-e430-4efe-bc54-2eb0d996b46a")</f>
        <v>ea1af037-e430-4efe-bc54-2eb0d996b46a</v>
      </c>
      <c r="B382" s="6" t="str">
        <f>IFERROR(__xludf.DUMMYFUNCTION("""COMPUTED_VALUE"""),"aec9ceba-13bd-40c5-a24c-a866de7d0d3a")</f>
        <v>aec9ceba-13bd-40c5-a24c-a866de7d0d3a</v>
      </c>
      <c r="C382" s="7">
        <f>IFERROR(__xludf.DUMMYFUNCTION("""COMPUTED_VALUE"""),45084.0)</f>
        <v>45084</v>
      </c>
      <c r="D382" s="8">
        <f>IFERROR(__xludf.DUMMYFUNCTION("""COMPUTED_VALUE"""),1311495.0)</f>
        <v>1311495</v>
      </c>
      <c r="E382" s="6" t="str">
        <f>IFERROR(__xludf.DUMMYFUNCTION("""COMPUTED_VALUE"""),"MOVIE")</f>
        <v>MOVIE</v>
      </c>
      <c r="F382" s="6" t="str">
        <f>IFERROR(__xludf.DUMMYFUNCTION("""COMPUTED_VALUE"""),"Drama")</f>
        <v>Drama</v>
      </c>
      <c r="G382" s="6">
        <f>IFERROR(__xludf.DUMMYFUNCTION("""COMPUTED_VALUE"""),172.0)</f>
        <v>172</v>
      </c>
      <c r="H382" s="6">
        <f>IFERROR(__xludf.DUMMYFUNCTION("""COMPUTED_VALUE"""),1.0)</f>
        <v>1</v>
      </c>
      <c r="I382" s="6" t="str">
        <f>IFERROR(__xludf.DUMMYFUNCTION("""COMPUTED_VALUE"""),"Smart Tv")</f>
        <v>Smart Tv</v>
      </c>
      <c r="J382" s="6" t="str">
        <f>IFERROR(__xludf.DUMMYFUNCTION("""COMPUTED_VALUE"""),"Germany")</f>
        <v>Germany</v>
      </c>
      <c r="K382" s="6" t="str">
        <f>IFERROR(__xludf.DUMMYFUNCTION("""COMPUTED_VALUE"""),"Standard")</f>
        <v>Standard</v>
      </c>
      <c r="L382" s="6">
        <f>IFERROR(__xludf.DUMMYFUNCTION("""COMPUTED_VALUE"""),0.0)</f>
        <v>0</v>
      </c>
      <c r="M382" s="6" t="str">
        <f>IFERROR(__xludf.DUMMYFUNCTION("""COMPUTED_VALUE"""),"2023-06")</f>
        <v>2023-06</v>
      </c>
    </row>
    <row r="383">
      <c r="A383" s="6" t="str">
        <f>IFERROR(__xludf.DUMMYFUNCTION("""COMPUTED_VALUE"""),"eed24f1a-1726-4921-a069-6919ac875999")</f>
        <v>eed24f1a-1726-4921-a069-6919ac875999</v>
      </c>
      <c r="B383" s="6" t="str">
        <f>IFERROR(__xludf.DUMMYFUNCTION("""COMPUTED_VALUE"""),"aef46336-8197-4db8-b914-1f17233ef0cf")</f>
        <v>aef46336-8197-4db8-b914-1f17233ef0cf</v>
      </c>
      <c r="C383" s="7">
        <f>IFERROR(__xludf.DUMMYFUNCTION("""COMPUTED_VALUE"""),45177.0)</f>
        <v>45177</v>
      </c>
      <c r="D383" s="8">
        <f>IFERROR(__xludf.DUMMYFUNCTION("""COMPUTED_VALUE"""),2850481.0)</f>
        <v>2850481</v>
      </c>
      <c r="E383" s="6" t="str">
        <f>IFERROR(__xludf.DUMMYFUNCTION("""COMPUTED_VALUE"""),"SERIES")</f>
        <v>SERIES</v>
      </c>
      <c r="F383" s="6" t="str">
        <f>IFERROR(__xludf.DUMMYFUNCTION("""COMPUTED_VALUE"""),"Action")</f>
        <v>Action</v>
      </c>
      <c r="G383" s="6">
        <f>IFERROR(__xludf.DUMMYFUNCTION("""COMPUTED_VALUE"""),173.0)</f>
        <v>173</v>
      </c>
      <c r="H383" s="6">
        <f>IFERROR(__xludf.DUMMYFUNCTION("""COMPUTED_VALUE"""),1.0)</f>
        <v>1</v>
      </c>
      <c r="I383" s="6" t="str">
        <f>IFERROR(__xludf.DUMMYFUNCTION("""COMPUTED_VALUE"""),"Smart Tv")</f>
        <v>Smart Tv</v>
      </c>
      <c r="J383" s="6" t="str">
        <f>IFERROR(__xludf.DUMMYFUNCTION("""COMPUTED_VALUE"""),"Germany")</f>
        <v>Germany</v>
      </c>
      <c r="K383" s="6" t="str">
        <f>IFERROR(__xludf.DUMMYFUNCTION("""COMPUTED_VALUE"""),"Premium")</f>
        <v>Premium</v>
      </c>
      <c r="L383" s="6">
        <f>IFERROR(__xludf.DUMMYFUNCTION("""COMPUTED_VALUE"""),0.0)</f>
        <v>0</v>
      </c>
      <c r="M383" s="6" t="str">
        <f>IFERROR(__xludf.DUMMYFUNCTION("""COMPUTED_VALUE"""),"2023-09")</f>
        <v>2023-09</v>
      </c>
    </row>
    <row r="384">
      <c r="A384" s="6" t="str">
        <f>IFERROR(__xludf.DUMMYFUNCTION("""COMPUTED_VALUE"""),"018027d0-4333-40c3-a1f0-c5f490423063")</f>
        <v>018027d0-4333-40c3-a1f0-c5f490423063</v>
      </c>
      <c r="B384" s="6" t="str">
        <f>IFERROR(__xludf.DUMMYFUNCTION("""COMPUTED_VALUE"""),"af088b4b-6484-49d4-b540-410b6808dc81")</f>
        <v>af088b4b-6484-49d4-b540-410b6808dc81</v>
      </c>
      <c r="C384" s="7">
        <f>IFERROR(__xludf.DUMMYFUNCTION("""COMPUTED_VALUE"""),45028.0)</f>
        <v>45028</v>
      </c>
      <c r="D384" s="8">
        <f>IFERROR(__xludf.DUMMYFUNCTION("""COMPUTED_VALUE"""),8.4304353E7)</f>
        <v>84304353</v>
      </c>
      <c r="E384" s="6" t="str">
        <f>IFERROR(__xludf.DUMMYFUNCTION("""COMPUTED_VALUE"""),"MOVIE")</f>
        <v>MOVIE</v>
      </c>
      <c r="F384" s="6" t="str">
        <f>IFERROR(__xludf.DUMMYFUNCTION("""COMPUTED_VALUE"""),"Action")</f>
        <v>Action</v>
      </c>
      <c r="G384" s="6">
        <f>IFERROR(__xludf.DUMMYFUNCTION("""COMPUTED_VALUE"""),100.0)</f>
        <v>100</v>
      </c>
      <c r="H384" s="6">
        <f>IFERROR(__xludf.DUMMYFUNCTION("""COMPUTED_VALUE"""),0.0)</f>
        <v>0</v>
      </c>
      <c r="I384" s="6" t="str">
        <f>IFERROR(__xludf.DUMMYFUNCTION("""COMPUTED_VALUE"""),"Desktop")</f>
        <v>Desktop</v>
      </c>
      <c r="J384" s="6" t="str">
        <f>IFERROR(__xludf.DUMMYFUNCTION("""COMPUTED_VALUE"""),"Uk")</f>
        <v>Uk</v>
      </c>
      <c r="K384" s="6" t="str">
        <f>IFERROR(__xludf.DUMMYFUNCTION("""COMPUTED_VALUE"""),"Standard")</f>
        <v>Standard</v>
      </c>
      <c r="L384" s="6">
        <f>IFERROR(__xludf.DUMMYFUNCTION("""COMPUTED_VALUE"""),0.0)</f>
        <v>0</v>
      </c>
      <c r="M384" s="6" t="str">
        <f>IFERROR(__xludf.DUMMYFUNCTION("""COMPUTED_VALUE"""),"2023-04")</f>
        <v>2023-04</v>
      </c>
    </row>
    <row r="385">
      <c r="A385" s="6" t="str">
        <f>IFERROR(__xludf.DUMMYFUNCTION("""COMPUTED_VALUE"""),"ecb18ea9-16e9-4a55-a139-8e30880243b7")</f>
        <v>ecb18ea9-16e9-4a55-a139-8e30880243b7</v>
      </c>
      <c r="B385" s="6" t="str">
        <f>IFERROR(__xludf.DUMMYFUNCTION("""COMPUTED_VALUE"""),"b0376d5a-eaa9-4301-9601-d83e6a3ad188")</f>
        <v>b0376d5a-eaa9-4301-9601-d83e6a3ad188</v>
      </c>
      <c r="C385" s="7">
        <f>IFERROR(__xludf.DUMMYFUNCTION("""COMPUTED_VALUE"""),45111.0)</f>
        <v>45111</v>
      </c>
      <c r="D385" s="8">
        <f>IFERROR(__xludf.DUMMYFUNCTION("""COMPUTED_VALUE"""),3.0042421E7)</f>
        <v>30042421</v>
      </c>
      <c r="E385" s="6" t="str">
        <f>IFERROR(__xludf.DUMMYFUNCTION("""COMPUTED_VALUE"""),"SERIES")</f>
        <v>SERIES</v>
      </c>
      <c r="F385" s="6" t="str">
        <f>IFERROR(__xludf.DUMMYFUNCTION("""COMPUTED_VALUE"""),"Action")</f>
        <v>Action</v>
      </c>
      <c r="G385" s="6">
        <f>IFERROR(__xludf.DUMMYFUNCTION("""COMPUTED_VALUE"""),89.0)</f>
        <v>89</v>
      </c>
      <c r="H385" s="6">
        <f>IFERROR(__xludf.DUMMYFUNCTION("""COMPUTED_VALUE"""),0.0)</f>
        <v>0</v>
      </c>
      <c r="I385" s="6" t="str">
        <f>IFERROR(__xludf.DUMMYFUNCTION("""COMPUTED_VALUE"""),"Tablet")</f>
        <v>Tablet</v>
      </c>
      <c r="J385" s="6" t="str">
        <f>IFERROR(__xludf.DUMMYFUNCTION("""COMPUTED_VALUE"""),"France")</f>
        <v>France</v>
      </c>
      <c r="K385" s="6" t="str">
        <f>IFERROR(__xludf.DUMMYFUNCTION("""COMPUTED_VALUE"""),"Standard")</f>
        <v>Standard</v>
      </c>
      <c r="L385" s="6">
        <f>IFERROR(__xludf.DUMMYFUNCTION("""COMPUTED_VALUE"""),0.0)</f>
        <v>0</v>
      </c>
      <c r="M385" s="6" t="str">
        <f>IFERROR(__xludf.DUMMYFUNCTION("""COMPUTED_VALUE"""),"2023-07")</f>
        <v>2023-07</v>
      </c>
    </row>
    <row r="386">
      <c r="A386" s="6" t="str">
        <f>IFERROR(__xludf.DUMMYFUNCTION("""COMPUTED_VALUE"""),"771079e2-107e-41d3-90e1-fed306ccff31")</f>
        <v>771079e2-107e-41d3-90e1-fed306ccff31</v>
      </c>
      <c r="B386" s="6" t="str">
        <f>IFERROR(__xludf.DUMMYFUNCTION("""COMPUTED_VALUE"""),"b0e18a3a-cae2-49d0-b0f7-32f7eb5015f1")</f>
        <v>b0e18a3a-cae2-49d0-b0f7-32f7eb5015f1</v>
      </c>
      <c r="C386" s="7">
        <f>IFERROR(__xludf.DUMMYFUNCTION("""COMPUTED_VALUE"""),45287.0)</f>
        <v>45287</v>
      </c>
      <c r="D386" s="8">
        <f>IFERROR(__xludf.DUMMYFUNCTION("""COMPUTED_VALUE"""),8.8426358E7)</f>
        <v>88426358</v>
      </c>
      <c r="E386" s="6" t="str">
        <f>IFERROR(__xludf.DUMMYFUNCTION("""COMPUTED_VALUE"""),"MOVIE")</f>
        <v>MOVIE</v>
      </c>
      <c r="F386" s="6" t="str">
        <f>IFERROR(__xludf.DUMMYFUNCTION("""COMPUTED_VALUE"""),"Thriller")</f>
        <v>Thriller</v>
      </c>
      <c r="G386" s="6">
        <f>IFERROR(__xludf.DUMMYFUNCTION("""COMPUTED_VALUE"""),62.0)</f>
        <v>62</v>
      </c>
      <c r="H386" s="6">
        <f>IFERROR(__xludf.DUMMYFUNCTION("""COMPUTED_VALUE"""),0.0)</f>
        <v>0</v>
      </c>
      <c r="I386" s="6" t="str">
        <f>IFERROR(__xludf.DUMMYFUNCTION("""COMPUTED_VALUE"""),"Desktop")</f>
        <v>Desktop</v>
      </c>
      <c r="J386" s="6" t="str">
        <f>IFERROR(__xludf.DUMMYFUNCTION("""COMPUTED_VALUE"""),"Usa")</f>
        <v>Usa</v>
      </c>
      <c r="K386" s="6" t="str">
        <f>IFERROR(__xludf.DUMMYFUNCTION("""COMPUTED_VALUE"""),"Basic")</f>
        <v>Basic</v>
      </c>
      <c r="L386" s="6">
        <f>IFERROR(__xludf.DUMMYFUNCTION("""COMPUTED_VALUE"""),0.0)</f>
        <v>0</v>
      </c>
      <c r="M386" s="6" t="str">
        <f>IFERROR(__xludf.DUMMYFUNCTION("""COMPUTED_VALUE"""),"2023-12")</f>
        <v>2023-12</v>
      </c>
    </row>
    <row r="387">
      <c r="A387" s="6" t="str">
        <f>IFERROR(__xludf.DUMMYFUNCTION("""COMPUTED_VALUE"""),"2f12c31c-0198-4d27-a3dd-1c7f07275eca")</f>
        <v>2f12c31c-0198-4d27-a3dd-1c7f07275eca</v>
      </c>
      <c r="B387" s="6" t="str">
        <f>IFERROR(__xludf.DUMMYFUNCTION("""COMPUTED_VALUE"""),"b0fcf3a0-2a14-4784-a94f-ca099080a505")</f>
        <v>b0fcf3a0-2a14-4784-a94f-ca099080a505</v>
      </c>
      <c r="C387" s="7">
        <f>IFERROR(__xludf.DUMMYFUNCTION("""COMPUTED_VALUE"""),45048.0)</f>
        <v>45048</v>
      </c>
      <c r="D387" s="8">
        <f>IFERROR(__xludf.DUMMYFUNCTION("""COMPUTED_VALUE"""),6.1880092E7)</f>
        <v>61880092</v>
      </c>
      <c r="E387" s="6" t="str">
        <f>IFERROR(__xludf.DUMMYFUNCTION("""COMPUTED_VALUE"""),"MOVIE")</f>
        <v>MOVIE</v>
      </c>
      <c r="F387" s="6" t="str">
        <f>IFERROR(__xludf.DUMMYFUNCTION("""COMPUTED_VALUE"""),"Thriller")</f>
        <v>Thriller</v>
      </c>
      <c r="G387" s="6">
        <f>IFERROR(__xludf.DUMMYFUNCTION("""COMPUTED_VALUE"""),96.0)</f>
        <v>96</v>
      </c>
      <c r="H387" s="6">
        <f>IFERROR(__xludf.DUMMYFUNCTION("""COMPUTED_VALUE"""),1.0)</f>
        <v>1</v>
      </c>
      <c r="I387" s="6" t="str">
        <f>IFERROR(__xludf.DUMMYFUNCTION("""COMPUTED_VALUE"""),"Tablet")</f>
        <v>Tablet</v>
      </c>
      <c r="J387" s="6" t="str">
        <f>IFERROR(__xludf.DUMMYFUNCTION("""COMPUTED_VALUE"""),"Germany")</f>
        <v>Germany</v>
      </c>
      <c r="K387" s="6" t="str">
        <f>IFERROR(__xludf.DUMMYFUNCTION("""COMPUTED_VALUE"""),"Premium")</f>
        <v>Premium</v>
      </c>
      <c r="L387" s="6">
        <f>IFERROR(__xludf.DUMMYFUNCTION("""COMPUTED_VALUE"""),0.0)</f>
        <v>0</v>
      </c>
      <c r="M387" s="6" t="str">
        <f>IFERROR(__xludf.DUMMYFUNCTION("""COMPUTED_VALUE"""),"2023-05")</f>
        <v>2023-05</v>
      </c>
    </row>
    <row r="388">
      <c r="A388" s="6" t="str">
        <f>IFERROR(__xludf.DUMMYFUNCTION("""COMPUTED_VALUE"""),"f9c42258-1e44-4a98-b5e3-c06b68b156a2")</f>
        <v>f9c42258-1e44-4a98-b5e3-c06b68b156a2</v>
      </c>
      <c r="B388" s="6" t="str">
        <f>IFERROR(__xludf.DUMMYFUNCTION("""COMPUTED_VALUE"""),"b1392089-bb22-4f87-aac6-eac0f309078e")</f>
        <v>b1392089-bb22-4f87-aac6-eac0f309078e</v>
      </c>
      <c r="C388" s="7">
        <f>IFERROR(__xludf.DUMMYFUNCTION("""COMPUTED_VALUE"""),45254.0)</f>
        <v>45254</v>
      </c>
      <c r="D388" s="8">
        <f>IFERROR(__xludf.DUMMYFUNCTION("""COMPUTED_VALUE"""),4.2269717E7)</f>
        <v>42269717</v>
      </c>
      <c r="E388" s="6" t="str">
        <f>IFERROR(__xludf.DUMMYFUNCTION("""COMPUTED_VALUE"""),"DOCUMENTARY")</f>
        <v>DOCUMENTARY</v>
      </c>
      <c r="F388" s="6" t="str">
        <f>IFERROR(__xludf.DUMMYFUNCTION("""COMPUTED_VALUE"""),"Drama")</f>
        <v>Drama</v>
      </c>
      <c r="G388" s="6">
        <f>IFERROR(__xludf.DUMMYFUNCTION("""COMPUTED_VALUE"""),149.0)</f>
        <v>149</v>
      </c>
      <c r="H388" s="6">
        <f>IFERROR(__xludf.DUMMYFUNCTION("""COMPUTED_VALUE"""),1.0)</f>
        <v>1</v>
      </c>
      <c r="I388" s="6" t="str">
        <f>IFERROR(__xludf.DUMMYFUNCTION("""COMPUTED_VALUE"""),"Tablet")</f>
        <v>Tablet</v>
      </c>
      <c r="J388" s="6" t="str">
        <f>IFERROR(__xludf.DUMMYFUNCTION("""COMPUTED_VALUE"""),"Usa")</f>
        <v>Usa</v>
      </c>
      <c r="K388" s="6" t="str">
        <f>IFERROR(__xludf.DUMMYFUNCTION("""COMPUTED_VALUE"""),"Standard")</f>
        <v>Standard</v>
      </c>
      <c r="L388" s="6">
        <f>IFERROR(__xludf.DUMMYFUNCTION("""COMPUTED_VALUE"""),0.0)</f>
        <v>0</v>
      </c>
      <c r="M388" s="6" t="str">
        <f>IFERROR(__xludf.DUMMYFUNCTION("""COMPUTED_VALUE"""),"2023-11")</f>
        <v>2023-11</v>
      </c>
    </row>
    <row r="389">
      <c r="A389" s="6" t="str">
        <f>IFERROR(__xludf.DUMMYFUNCTION("""COMPUTED_VALUE"""),"78aa08cd-9063-445b-a3c8-393eaca3decf")</f>
        <v>78aa08cd-9063-445b-a3c8-393eaca3decf</v>
      </c>
      <c r="B389" s="6" t="str">
        <f>IFERROR(__xludf.DUMMYFUNCTION("""COMPUTED_VALUE"""),"b1704fb0-fc97-488e-94af-c8c65e8d899c")</f>
        <v>b1704fb0-fc97-488e-94af-c8c65e8d899c</v>
      </c>
      <c r="C389" s="7">
        <f>IFERROR(__xludf.DUMMYFUNCTION("""COMPUTED_VALUE"""),45079.0)</f>
        <v>45079</v>
      </c>
      <c r="D389" s="8">
        <f>IFERROR(__xludf.DUMMYFUNCTION("""COMPUTED_VALUE"""),3.9207159E7)</f>
        <v>39207159</v>
      </c>
      <c r="E389" s="6" t="str">
        <f>IFERROR(__xludf.DUMMYFUNCTION("""COMPUTED_VALUE"""),"DOCUMENTARY")</f>
        <v>DOCUMENTARY</v>
      </c>
      <c r="F389" s="6" t="str">
        <f>IFERROR(__xludf.DUMMYFUNCTION("""COMPUTED_VALUE"""),"Comedy")</f>
        <v>Comedy</v>
      </c>
      <c r="G389" s="6">
        <f>IFERROR(__xludf.DUMMYFUNCTION("""COMPUTED_VALUE"""),32.0)</f>
        <v>32</v>
      </c>
      <c r="H389" s="6">
        <f>IFERROR(__xludf.DUMMYFUNCTION("""COMPUTED_VALUE"""),1.0)</f>
        <v>1</v>
      </c>
      <c r="I389" s="6" t="str">
        <f>IFERROR(__xludf.DUMMYFUNCTION("""COMPUTED_VALUE"""),"Tablet")</f>
        <v>Tablet</v>
      </c>
      <c r="J389" s="6" t="str">
        <f>IFERROR(__xludf.DUMMYFUNCTION("""COMPUTED_VALUE"""),"Uk")</f>
        <v>Uk</v>
      </c>
      <c r="K389" s="6" t="str">
        <f>IFERROR(__xludf.DUMMYFUNCTION("""COMPUTED_VALUE"""),"Premium")</f>
        <v>Premium</v>
      </c>
      <c r="L389" s="6">
        <f>IFERROR(__xludf.DUMMYFUNCTION("""COMPUTED_VALUE"""),0.0)</f>
        <v>0</v>
      </c>
      <c r="M389" s="6" t="str">
        <f>IFERROR(__xludf.DUMMYFUNCTION("""COMPUTED_VALUE"""),"2023-06")</f>
        <v>2023-06</v>
      </c>
    </row>
    <row r="390">
      <c r="A390" s="6" t="str">
        <f>IFERROR(__xludf.DUMMYFUNCTION("""COMPUTED_VALUE"""),"2a13bb90-8ce8-4242-a91c-9e3745b066d9")</f>
        <v>2a13bb90-8ce8-4242-a91c-9e3745b066d9</v>
      </c>
      <c r="B390" s="6" t="str">
        <f>IFERROR(__xludf.DUMMYFUNCTION("""COMPUTED_VALUE"""),"b1867025-9176-447d-99e8-d575e782e928")</f>
        <v>b1867025-9176-447d-99e8-d575e782e928</v>
      </c>
      <c r="C390" s="7">
        <f>IFERROR(__xludf.DUMMYFUNCTION("""COMPUTED_VALUE"""),44944.0)</f>
        <v>44944</v>
      </c>
      <c r="D390" s="8">
        <f>IFERROR(__xludf.DUMMYFUNCTION("""COMPUTED_VALUE"""),5.62256E7)</f>
        <v>56225600</v>
      </c>
      <c r="E390" s="6" t="str">
        <f>IFERROR(__xludf.DUMMYFUNCTION("""COMPUTED_VALUE"""),"DOCUMENTARY")</f>
        <v>DOCUMENTARY</v>
      </c>
      <c r="F390" s="6" t="str">
        <f>IFERROR(__xludf.DUMMYFUNCTION("""COMPUTED_VALUE"""),"Drama")</f>
        <v>Drama</v>
      </c>
      <c r="G390" s="6">
        <f>IFERROR(__xludf.DUMMYFUNCTION("""COMPUTED_VALUE"""),8.0)</f>
        <v>8</v>
      </c>
      <c r="H390" s="6">
        <f>IFERROR(__xludf.DUMMYFUNCTION("""COMPUTED_VALUE"""),1.0)</f>
        <v>1</v>
      </c>
      <c r="I390" s="6" t="str">
        <f>IFERROR(__xludf.DUMMYFUNCTION("""COMPUTED_VALUE"""),"Smart Tv")</f>
        <v>Smart Tv</v>
      </c>
      <c r="J390" s="6" t="str">
        <f>IFERROR(__xludf.DUMMYFUNCTION("""COMPUTED_VALUE"""),"France")</f>
        <v>France</v>
      </c>
      <c r="K390" s="6" t="str">
        <f>IFERROR(__xludf.DUMMYFUNCTION("""COMPUTED_VALUE"""),"Standard")</f>
        <v>Standard</v>
      </c>
      <c r="L390" s="6">
        <f>IFERROR(__xludf.DUMMYFUNCTION("""COMPUTED_VALUE"""),0.0)</f>
        <v>0</v>
      </c>
      <c r="M390" s="6" t="str">
        <f>IFERROR(__xludf.DUMMYFUNCTION("""COMPUTED_VALUE"""),"2023-01")</f>
        <v>2023-01</v>
      </c>
    </row>
    <row r="391">
      <c r="A391" s="6" t="str">
        <f>IFERROR(__xludf.DUMMYFUNCTION("""COMPUTED_VALUE"""),"9eb3214e-5b16-4354-942e-a869cfd9b339")</f>
        <v>9eb3214e-5b16-4354-942e-a869cfd9b339</v>
      </c>
      <c r="B391" s="6" t="str">
        <f>IFERROR(__xludf.DUMMYFUNCTION("""COMPUTED_VALUE"""),"b1d2fc5b-8afe-4f3b-bc06-b7613ab877ce")</f>
        <v>b1d2fc5b-8afe-4f3b-bc06-b7613ab877ce</v>
      </c>
      <c r="C391" s="7">
        <f>IFERROR(__xludf.DUMMYFUNCTION("""COMPUTED_VALUE"""),45044.0)</f>
        <v>45044</v>
      </c>
      <c r="D391" s="8">
        <f>IFERROR(__xludf.DUMMYFUNCTION("""COMPUTED_VALUE"""),7.1507699E7)</f>
        <v>71507699</v>
      </c>
      <c r="E391" s="6" t="str">
        <f>IFERROR(__xludf.DUMMYFUNCTION("""COMPUTED_VALUE"""),"DOCUMENTARY")</f>
        <v>DOCUMENTARY</v>
      </c>
      <c r="F391" s="6" t="str">
        <f>IFERROR(__xludf.DUMMYFUNCTION("""COMPUTED_VALUE"""),"Comedy")</f>
        <v>Comedy</v>
      </c>
      <c r="G391" s="6">
        <f>IFERROR(__xludf.DUMMYFUNCTION("""COMPUTED_VALUE"""),58.0)</f>
        <v>58</v>
      </c>
      <c r="H391" s="6">
        <f>IFERROR(__xludf.DUMMYFUNCTION("""COMPUTED_VALUE"""),1.0)</f>
        <v>1</v>
      </c>
      <c r="I391" s="6" t="str">
        <f>IFERROR(__xludf.DUMMYFUNCTION("""COMPUTED_VALUE"""),"Smart Tv")</f>
        <v>Smart Tv</v>
      </c>
      <c r="J391" s="6" t="str">
        <f>IFERROR(__xludf.DUMMYFUNCTION("""COMPUTED_VALUE"""),"Germany")</f>
        <v>Germany</v>
      </c>
      <c r="K391" s="6" t="str">
        <f>IFERROR(__xludf.DUMMYFUNCTION("""COMPUTED_VALUE"""),"Premium")</f>
        <v>Premium</v>
      </c>
      <c r="L391" s="6">
        <f>IFERROR(__xludf.DUMMYFUNCTION("""COMPUTED_VALUE"""),0.0)</f>
        <v>0</v>
      </c>
      <c r="M391" s="6" t="str">
        <f>IFERROR(__xludf.DUMMYFUNCTION("""COMPUTED_VALUE"""),"2023-04")</f>
        <v>2023-04</v>
      </c>
    </row>
    <row r="392">
      <c r="A392" s="6" t="str">
        <f>IFERROR(__xludf.DUMMYFUNCTION("""COMPUTED_VALUE"""),"05a0101a-a25b-4a1c-803d-a5dff75db892")</f>
        <v>05a0101a-a25b-4a1c-803d-a5dff75db892</v>
      </c>
      <c r="B392" s="6" t="str">
        <f>IFERROR(__xludf.DUMMYFUNCTION("""COMPUTED_VALUE"""),"b1ddf686-6e71-49aa-beff-be385bed2fe6")</f>
        <v>b1ddf686-6e71-49aa-beff-be385bed2fe6</v>
      </c>
      <c r="C392" s="7">
        <f>IFERROR(__xludf.DUMMYFUNCTION("""COMPUTED_VALUE"""),45039.0)</f>
        <v>45039</v>
      </c>
      <c r="D392" s="8">
        <f>IFERROR(__xludf.DUMMYFUNCTION("""COMPUTED_VALUE"""),9.7196136E7)</f>
        <v>97196136</v>
      </c>
      <c r="E392" s="6" t="str">
        <f>IFERROR(__xludf.DUMMYFUNCTION("""COMPUTED_VALUE"""),"DOCUMENTARY")</f>
        <v>DOCUMENTARY</v>
      </c>
      <c r="F392" s="6" t="str">
        <f>IFERROR(__xludf.DUMMYFUNCTION("""COMPUTED_VALUE"""),"Action")</f>
        <v>Action</v>
      </c>
      <c r="G392" s="6">
        <f>IFERROR(__xludf.DUMMYFUNCTION("""COMPUTED_VALUE"""),153.0)</f>
        <v>153</v>
      </c>
      <c r="H392" s="6">
        <f>IFERROR(__xludf.DUMMYFUNCTION("""COMPUTED_VALUE"""),1.0)</f>
        <v>1</v>
      </c>
      <c r="I392" s="6" t="str">
        <f>IFERROR(__xludf.DUMMYFUNCTION("""COMPUTED_VALUE"""),"Mobile")</f>
        <v>Mobile</v>
      </c>
      <c r="J392" s="6" t="str">
        <f>IFERROR(__xludf.DUMMYFUNCTION("""COMPUTED_VALUE"""),"Uk")</f>
        <v>Uk</v>
      </c>
      <c r="K392" s="6" t="str">
        <f>IFERROR(__xludf.DUMMYFUNCTION("""COMPUTED_VALUE"""),"Standard")</f>
        <v>Standard</v>
      </c>
      <c r="L392" s="6">
        <f>IFERROR(__xludf.DUMMYFUNCTION("""COMPUTED_VALUE"""),0.0)</f>
        <v>0</v>
      </c>
      <c r="M392" s="6" t="str">
        <f>IFERROR(__xludf.DUMMYFUNCTION("""COMPUTED_VALUE"""),"2023-04")</f>
        <v>2023-04</v>
      </c>
    </row>
    <row r="393">
      <c r="A393" s="6" t="str">
        <f>IFERROR(__xludf.DUMMYFUNCTION("""COMPUTED_VALUE"""),"ca3f4bd9-9ced-4191-bd88-90c41e59a2d9")</f>
        <v>ca3f4bd9-9ced-4191-bd88-90c41e59a2d9</v>
      </c>
      <c r="B393" s="6" t="str">
        <f>IFERROR(__xludf.DUMMYFUNCTION("""COMPUTED_VALUE"""),"b2194ca9-c66a-464d-8c99-784827ebcbed")</f>
        <v>b2194ca9-c66a-464d-8c99-784827ebcbed</v>
      </c>
      <c r="C393" s="7">
        <f>IFERROR(__xludf.DUMMYFUNCTION("""COMPUTED_VALUE"""),45242.0)</f>
        <v>45242</v>
      </c>
      <c r="D393" s="8">
        <f>IFERROR(__xludf.DUMMYFUNCTION("""COMPUTED_VALUE"""),4.0187051E7)</f>
        <v>40187051</v>
      </c>
      <c r="E393" s="6" t="str">
        <f>IFERROR(__xludf.DUMMYFUNCTION("""COMPUTED_VALUE"""),"SERIES")</f>
        <v>SERIES</v>
      </c>
      <c r="F393" s="6" t="str">
        <f>IFERROR(__xludf.DUMMYFUNCTION("""COMPUTED_VALUE"""),"Action")</f>
        <v>Action</v>
      </c>
      <c r="G393" s="6">
        <f>IFERROR(__xludf.DUMMYFUNCTION("""COMPUTED_VALUE"""),131.0)</f>
        <v>131</v>
      </c>
      <c r="H393" s="6">
        <f>IFERROR(__xludf.DUMMYFUNCTION("""COMPUTED_VALUE"""),1.0)</f>
        <v>1</v>
      </c>
      <c r="I393" s="6" t="str">
        <f>IFERROR(__xludf.DUMMYFUNCTION("""COMPUTED_VALUE"""),"Mobile")</f>
        <v>Mobile</v>
      </c>
      <c r="J393" s="6" t="str">
        <f>IFERROR(__xludf.DUMMYFUNCTION("""COMPUTED_VALUE"""),"France")</f>
        <v>France</v>
      </c>
      <c r="K393" s="6" t="str">
        <f>IFERROR(__xludf.DUMMYFUNCTION("""COMPUTED_VALUE"""),"Basic")</f>
        <v>Basic</v>
      </c>
      <c r="L393" s="6">
        <f>IFERROR(__xludf.DUMMYFUNCTION("""COMPUTED_VALUE"""),0.0)</f>
        <v>0</v>
      </c>
      <c r="M393" s="6" t="str">
        <f>IFERROR(__xludf.DUMMYFUNCTION("""COMPUTED_VALUE"""),"2023-11")</f>
        <v>2023-11</v>
      </c>
    </row>
    <row r="394">
      <c r="A394" s="6" t="str">
        <f>IFERROR(__xludf.DUMMYFUNCTION("""COMPUTED_VALUE"""),"47172938-7719-48d2-8f64-d8011cd855e9")</f>
        <v>47172938-7719-48d2-8f64-d8011cd855e9</v>
      </c>
      <c r="B394" s="6" t="str">
        <f>IFERROR(__xludf.DUMMYFUNCTION("""COMPUTED_VALUE"""),"b2859258-9883-43a4-8bc0-f4a4250e6318")</f>
        <v>b2859258-9883-43a4-8bc0-f4a4250e6318</v>
      </c>
      <c r="C394" s="7">
        <f>IFERROR(__xludf.DUMMYFUNCTION("""COMPUTED_VALUE"""),45187.0)</f>
        <v>45187</v>
      </c>
      <c r="D394" s="8">
        <f>IFERROR(__xludf.DUMMYFUNCTION("""COMPUTED_VALUE"""),6.6720126E7)</f>
        <v>66720126</v>
      </c>
      <c r="E394" s="6" t="str">
        <f>IFERROR(__xludf.DUMMYFUNCTION("""COMPUTED_VALUE"""),"MOVIE")</f>
        <v>MOVIE</v>
      </c>
      <c r="F394" s="6" t="str">
        <f>IFERROR(__xludf.DUMMYFUNCTION("""COMPUTED_VALUE"""),"Drama")</f>
        <v>Drama</v>
      </c>
      <c r="G394" s="6">
        <f>IFERROR(__xludf.DUMMYFUNCTION("""COMPUTED_VALUE"""),100.0)</f>
        <v>100</v>
      </c>
      <c r="H394" s="6">
        <f>IFERROR(__xludf.DUMMYFUNCTION("""COMPUTED_VALUE"""),1.0)</f>
        <v>1</v>
      </c>
      <c r="I394" s="6" t="str">
        <f>IFERROR(__xludf.DUMMYFUNCTION("""COMPUTED_VALUE"""),"Mobile")</f>
        <v>Mobile</v>
      </c>
      <c r="J394" s="6" t="str">
        <f>IFERROR(__xludf.DUMMYFUNCTION("""COMPUTED_VALUE"""),"Germany")</f>
        <v>Germany</v>
      </c>
      <c r="K394" s="6" t="str">
        <f>IFERROR(__xludf.DUMMYFUNCTION("""COMPUTED_VALUE"""),"Standard")</f>
        <v>Standard</v>
      </c>
      <c r="L394" s="6">
        <f>IFERROR(__xludf.DUMMYFUNCTION("""COMPUTED_VALUE"""),0.0)</f>
        <v>0</v>
      </c>
      <c r="M394" s="6" t="str">
        <f>IFERROR(__xludf.DUMMYFUNCTION("""COMPUTED_VALUE"""),"2023-09")</f>
        <v>2023-09</v>
      </c>
    </row>
    <row r="395">
      <c r="A395" s="6" t="str">
        <f>IFERROR(__xludf.DUMMYFUNCTION("""COMPUTED_VALUE"""),"95652825-761f-415a-a262-7f4d1b323b5c")</f>
        <v>95652825-761f-415a-a262-7f4d1b323b5c</v>
      </c>
      <c r="B395" s="6" t="str">
        <f>IFERROR(__xludf.DUMMYFUNCTION("""COMPUTED_VALUE"""),"b2e170f6-c7e5-4b73-8e49-8b2e1dceefa6")</f>
        <v>b2e170f6-c7e5-4b73-8e49-8b2e1dceefa6</v>
      </c>
      <c r="C395" s="7">
        <f>IFERROR(__xludf.DUMMYFUNCTION("""COMPUTED_VALUE"""),45129.0)</f>
        <v>45129</v>
      </c>
      <c r="D395" s="8">
        <f>IFERROR(__xludf.DUMMYFUNCTION("""COMPUTED_VALUE"""),3.9314406E7)</f>
        <v>39314406</v>
      </c>
      <c r="E395" s="6" t="str">
        <f>IFERROR(__xludf.DUMMYFUNCTION("""COMPUTED_VALUE"""),"DOCUMENTARY")</f>
        <v>DOCUMENTARY</v>
      </c>
      <c r="F395" s="6" t="str">
        <f>IFERROR(__xludf.DUMMYFUNCTION("""COMPUTED_VALUE"""),"Action")</f>
        <v>Action</v>
      </c>
      <c r="G395" s="6">
        <f>IFERROR(__xludf.DUMMYFUNCTION("""COMPUTED_VALUE"""),150.0)</f>
        <v>150</v>
      </c>
      <c r="H395" s="6">
        <f>IFERROR(__xludf.DUMMYFUNCTION("""COMPUTED_VALUE"""),0.0)</f>
        <v>0</v>
      </c>
      <c r="I395" s="6" t="str">
        <f>IFERROR(__xludf.DUMMYFUNCTION("""COMPUTED_VALUE"""),"Tablet")</f>
        <v>Tablet</v>
      </c>
      <c r="J395" s="6" t="str">
        <f>IFERROR(__xludf.DUMMYFUNCTION("""COMPUTED_VALUE"""),"France")</f>
        <v>France</v>
      </c>
      <c r="K395" s="6" t="str">
        <f>IFERROR(__xludf.DUMMYFUNCTION("""COMPUTED_VALUE"""),"Premium")</f>
        <v>Premium</v>
      </c>
      <c r="L395" s="6">
        <f>IFERROR(__xludf.DUMMYFUNCTION("""COMPUTED_VALUE"""),0.0)</f>
        <v>0</v>
      </c>
      <c r="M395" s="6" t="str">
        <f>IFERROR(__xludf.DUMMYFUNCTION("""COMPUTED_VALUE"""),"2023-07")</f>
        <v>2023-07</v>
      </c>
    </row>
    <row r="396">
      <c r="A396" s="6" t="str">
        <f>IFERROR(__xludf.DUMMYFUNCTION("""COMPUTED_VALUE"""),"beca3fee-251e-4b95-868d-ce21b5c868f4")</f>
        <v>beca3fee-251e-4b95-868d-ce21b5c868f4</v>
      </c>
      <c r="B396" s="6" t="str">
        <f>IFERROR(__xludf.DUMMYFUNCTION("""COMPUTED_VALUE"""),"b3063ec4-040b-4e15-b296-d8322fca696a")</f>
        <v>b3063ec4-040b-4e15-b296-d8322fca696a</v>
      </c>
      <c r="C396" s="7">
        <f>IFERROR(__xludf.DUMMYFUNCTION("""COMPUTED_VALUE"""),45130.0)</f>
        <v>45130</v>
      </c>
      <c r="D396" s="8">
        <f>IFERROR(__xludf.DUMMYFUNCTION("""COMPUTED_VALUE"""),1807479.0)</f>
        <v>1807479</v>
      </c>
      <c r="E396" s="6" t="str">
        <f>IFERROR(__xludf.DUMMYFUNCTION("""COMPUTED_VALUE"""),"DOCUMENTARY")</f>
        <v>DOCUMENTARY</v>
      </c>
      <c r="F396" s="6" t="str">
        <f>IFERROR(__xludf.DUMMYFUNCTION("""COMPUTED_VALUE"""),"Drama")</f>
        <v>Drama</v>
      </c>
      <c r="G396" s="6">
        <f>IFERROR(__xludf.DUMMYFUNCTION("""COMPUTED_VALUE"""),155.0)</f>
        <v>155</v>
      </c>
      <c r="H396" s="6">
        <f>IFERROR(__xludf.DUMMYFUNCTION("""COMPUTED_VALUE"""),1.0)</f>
        <v>1</v>
      </c>
      <c r="I396" s="6" t="str">
        <f>IFERROR(__xludf.DUMMYFUNCTION("""COMPUTED_VALUE"""),"Tablet")</f>
        <v>Tablet</v>
      </c>
      <c r="J396" s="6" t="str">
        <f>IFERROR(__xludf.DUMMYFUNCTION("""COMPUTED_VALUE"""),"India")</f>
        <v>India</v>
      </c>
      <c r="K396" s="6" t="str">
        <f>IFERROR(__xludf.DUMMYFUNCTION("""COMPUTED_VALUE"""),"Standard")</f>
        <v>Standard</v>
      </c>
      <c r="L396" s="6">
        <f>IFERROR(__xludf.DUMMYFUNCTION("""COMPUTED_VALUE"""),0.0)</f>
        <v>0</v>
      </c>
      <c r="M396" s="6" t="str">
        <f>IFERROR(__xludf.DUMMYFUNCTION("""COMPUTED_VALUE"""),"2023-07")</f>
        <v>2023-07</v>
      </c>
    </row>
    <row r="397">
      <c r="A397" s="6" t="str">
        <f>IFERROR(__xludf.DUMMYFUNCTION("""COMPUTED_VALUE"""),"1acef37c-8d61-4db6-893d-3d7b7c1351f2")</f>
        <v>1acef37c-8d61-4db6-893d-3d7b7c1351f2</v>
      </c>
      <c r="B397" s="6" t="str">
        <f>IFERROR(__xludf.DUMMYFUNCTION("""COMPUTED_VALUE"""),"b3767ceb-0764-406c-bf7e-995e9927c451")</f>
        <v>b3767ceb-0764-406c-bf7e-995e9927c451</v>
      </c>
      <c r="C397" s="7">
        <f>IFERROR(__xludf.DUMMYFUNCTION("""COMPUTED_VALUE"""),44945.0)</f>
        <v>44945</v>
      </c>
      <c r="D397" s="8">
        <f>IFERROR(__xludf.DUMMYFUNCTION("""COMPUTED_VALUE"""),4.6369307E7)</f>
        <v>46369307</v>
      </c>
      <c r="E397" s="6" t="str">
        <f>IFERROR(__xludf.DUMMYFUNCTION("""COMPUTED_VALUE"""),"DOCUMENTARY")</f>
        <v>DOCUMENTARY</v>
      </c>
      <c r="F397" s="6" t="str">
        <f>IFERROR(__xludf.DUMMYFUNCTION("""COMPUTED_VALUE"""),"Drama")</f>
        <v>Drama</v>
      </c>
      <c r="G397" s="6">
        <f>IFERROR(__xludf.DUMMYFUNCTION("""COMPUTED_VALUE"""),162.0)</f>
        <v>162</v>
      </c>
      <c r="H397" s="6">
        <f>IFERROR(__xludf.DUMMYFUNCTION("""COMPUTED_VALUE"""),1.0)</f>
        <v>1</v>
      </c>
      <c r="I397" s="6" t="str">
        <f>IFERROR(__xludf.DUMMYFUNCTION("""COMPUTED_VALUE"""),"Tablet")</f>
        <v>Tablet</v>
      </c>
      <c r="J397" s="6" t="str">
        <f>IFERROR(__xludf.DUMMYFUNCTION("""COMPUTED_VALUE"""),"Uk")</f>
        <v>Uk</v>
      </c>
      <c r="K397" s="6" t="str">
        <f>IFERROR(__xludf.DUMMYFUNCTION("""COMPUTED_VALUE"""),"Basic")</f>
        <v>Basic</v>
      </c>
      <c r="L397" s="6">
        <f>IFERROR(__xludf.DUMMYFUNCTION("""COMPUTED_VALUE"""),0.0)</f>
        <v>0</v>
      </c>
      <c r="M397" s="6" t="str">
        <f>IFERROR(__xludf.DUMMYFUNCTION("""COMPUTED_VALUE"""),"2023-01")</f>
        <v>2023-01</v>
      </c>
    </row>
    <row r="398">
      <c r="A398" s="6" t="str">
        <f>IFERROR(__xludf.DUMMYFUNCTION("""COMPUTED_VALUE"""),"ac658631-4ac6-4a04-84f9-80a2a16807b0")</f>
        <v>ac658631-4ac6-4a04-84f9-80a2a16807b0</v>
      </c>
      <c r="B398" s="6" t="str">
        <f>IFERROR(__xludf.DUMMYFUNCTION("""COMPUTED_VALUE"""),"b38c6c6f-c373-4211-920b-fafa386c0bff")</f>
        <v>b38c6c6f-c373-4211-920b-fafa386c0bff</v>
      </c>
      <c r="C398" s="7">
        <f>IFERROR(__xludf.DUMMYFUNCTION("""COMPUTED_VALUE"""),45161.0)</f>
        <v>45161</v>
      </c>
      <c r="D398" s="8">
        <f>IFERROR(__xludf.DUMMYFUNCTION("""COMPUTED_VALUE"""),3.1214483E7)</f>
        <v>31214483</v>
      </c>
      <c r="E398" s="6" t="str">
        <f>IFERROR(__xludf.DUMMYFUNCTION("""COMPUTED_VALUE"""),"SERIES")</f>
        <v>SERIES</v>
      </c>
      <c r="F398" s="6" t="str">
        <f>IFERROR(__xludf.DUMMYFUNCTION("""COMPUTED_VALUE"""),"Comedy")</f>
        <v>Comedy</v>
      </c>
      <c r="G398" s="6">
        <f>IFERROR(__xludf.DUMMYFUNCTION("""COMPUTED_VALUE"""),5.0)</f>
        <v>5</v>
      </c>
      <c r="H398" s="6">
        <f>IFERROR(__xludf.DUMMYFUNCTION("""COMPUTED_VALUE"""),0.0)</f>
        <v>0</v>
      </c>
      <c r="I398" s="6" t="str">
        <f>IFERROR(__xludf.DUMMYFUNCTION("""COMPUTED_VALUE"""),"Desktop")</f>
        <v>Desktop</v>
      </c>
      <c r="J398" s="6" t="str">
        <f>IFERROR(__xludf.DUMMYFUNCTION("""COMPUTED_VALUE"""),"Usa")</f>
        <v>Usa</v>
      </c>
      <c r="K398" s="6" t="str">
        <f>IFERROR(__xludf.DUMMYFUNCTION("""COMPUTED_VALUE"""),"Basic")</f>
        <v>Basic</v>
      </c>
      <c r="L398" s="6">
        <f>IFERROR(__xludf.DUMMYFUNCTION("""COMPUTED_VALUE"""),1.0)</f>
        <v>1</v>
      </c>
      <c r="M398" s="6" t="str">
        <f>IFERROR(__xludf.DUMMYFUNCTION("""COMPUTED_VALUE"""),"2023-08")</f>
        <v>2023-08</v>
      </c>
    </row>
    <row r="399">
      <c r="A399" s="6" t="str">
        <f>IFERROR(__xludf.DUMMYFUNCTION("""COMPUTED_VALUE"""),"427b4a96-ee24-4998-b9a8-3e16bc9b5dfd")</f>
        <v>427b4a96-ee24-4998-b9a8-3e16bc9b5dfd</v>
      </c>
      <c r="B399" s="6" t="str">
        <f>IFERROR(__xludf.DUMMYFUNCTION("""COMPUTED_VALUE"""),"b3b37d5e-e77a-4114-8a35-ad5c88cfb3d3")</f>
        <v>b3b37d5e-e77a-4114-8a35-ad5c88cfb3d3</v>
      </c>
      <c r="C399" s="7">
        <f>IFERROR(__xludf.DUMMYFUNCTION("""COMPUTED_VALUE"""),45212.0)</f>
        <v>45212</v>
      </c>
      <c r="D399" s="8">
        <f>IFERROR(__xludf.DUMMYFUNCTION("""COMPUTED_VALUE"""),5.8506981E7)</f>
        <v>58506981</v>
      </c>
      <c r="E399" s="6" t="str">
        <f>IFERROR(__xludf.DUMMYFUNCTION("""COMPUTED_VALUE"""),"MOVIE")</f>
        <v>MOVIE</v>
      </c>
      <c r="F399" s="6" t="str">
        <f>IFERROR(__xludf.DUMMYFUNCTION("""COMPUTED_VALUE"""),"Drama")</f>
        <v>Drama</v>
      </c>
      <c r="G399" s="6">
        <f>IFERROR(__xludf.DUMMYFUNCTION("""COMPUTED_VALUE"""),79.0)</f>
        <v>79</v>
      </c>
      <c r="H399" s="6">
        <f>IFERROR(__xludf.DUMMYFUNCTION("""COMPUTED_VALUE"""),0.0)</f>
        <v>0</v>
      </c>
      <c r="I399" s="6" t="str">
        <f>IFERROR(__xludf.DUMMYFUNCTION("""COMPUTED_VALUE"""),"Mobile")</f>
        <v>Mobile</v>
      </c>
      <c r="J399" s="6" t="str">
        <f>IFERROR(__xludf.DUMMYFUNCTION("""COMPUTED_VALUE"""),"Usa")</f>
        <v>Usa</v>
      </c>
      <c r="K399" s="6" t="str">
        <f>IFERROR(__xludf.DUMMYFUNCTION("""COMPUTED_VALUE"""),"Standard")</f>
        <v>Standard</v>
      </c>
      <c r="L399" s="6">
        <f>IFERROR(__xludf.DUMMYFUNCTION("""COMPUTED_VALUE"""),0.0)</f>
        <v>0</v>
      </c>
      <c r="M399" s="6" t="str">
        <f>IFERROR(__xludf.DUMMYFUNCTION("""COMPUTED_VALUE"""),"2023-10")</f>
        <v>2023-10</v>
      </c>
    </row>
    <row r="400">
      <c r="A400" s="6" t="str">
        <f>IFERROR(__xludf.DUMMYFUNCTION("""COMPUTED_VALUE"""),"e32bc098-aa7c-4ea3-8671-610408993782")</f>
        <v>e32bc098-aa7c-4ea3-8671-610408993782</v>
      </c>
      <c r="B400" s="6" t="str">
        <f>IFERROR(__xludf.DUMMYFUNCTION("""COMPUTED_VALUE"""),"b40605b0-dd8b-4681-8112-7f774b90fe87")</f>
        <v>b40605b0-dd8b-4681-8112-7f774b90fe87</v>
      </c>
      <c r="C400" s="7">
        <f>IFERROR(__xludf.DUMMYFUNCTION("""COMPUTED_VALUE"""),44955.0)</f>
        <v>44955</v>
      </c>
      <c r="D400" s="8">
        <f>IFERROR(__xludf.DUMMYFUNCTION("""COMPUTED_VALUE"""),6969332.0)</f>
        <v>6969332</v>
      </c>
      <c r="E400" s="6" t="str">
        <f>IFERROR(__xludf.DUMMYFUNCTION("""COMPUTED_VALUE"""),"SERIES")</f>
        <v>SERIES</v>
      </c>
      <c r="F400" s="6" t="str">
        <f>IFERROR(__xludf.DUMMYFUNCTION("""COMPUTED_VALUE"""),"Comedy")</f>
        <v>Comedy</v>
      </c>
      <c r="G400" s="6">
        <f>IFERROR(__xludf.DUMMYFUNCTION("""COMPUTED_VALUE"""),6.0)</f>
        <v>6</v>
      </c>
      <c r="H400" s="6">
        <f>IFERROR(__xludf.DUMMYFUNCTION("""COMPUTED_VALUE"""),0.0)</f>
        <v>0</v>
      </c>
      <c r="I400" s="6" t="str">
        <f>IFERROR(__xludf.DUMMYFUNCTION("""COMPUTED_VALUE"""),"Smart Tv")</f>
        <v>Smart Tv</v>
      </c>
      <c r="J400" s="6" t="str">
        <f>IFERROR(__xludf.DUMMYFUNCTION("""COMPUTED_VALUE"""),"Uk")</f>
        <v>Uk</v>
      </c>
      <c r="K400" s="6" t="str">
        <f>IFERROR(__xludf.DUMMYFUNCTION("""COMPUTED_VALUE"""),"Premium")</f>
        <v>Premium</v>
      </c>
      <c r="L400" s="6">
        <f>IFERROR(__xludf.DUMMYFUNCTION("""COMPUTED_VALUE"""),0.0)</f>
        <v>0</v>
      </c>
      <c r="M400" s="6" t="str">
        <f>IFERROR(__xludf.DUMMYFUNCTION("""COMPUTED_VALUE"""),"2023-01")</f>
        <v>2023-01</v>
      </c>
    </row>
    <row r="401">
      <c r="A401" s="6" t="str">
        <f>IFERROR(__xludf.DUMMYFUNCTION("""COMPUTED_VALUE"""),"7d7476b1-a5bf-46d8-ba41-87d02822553d")</f>
        <v>7d7476b1-a5bf-46d8-ba41-87d02822553d</v>
      </c>
      <c r="B401" s="6" t="str">
        <f>IFERROR(__xludf.DUMMYFUNCTION("""COMPUTED_VALUE"""),"b4c0e1d8-3ef3-4973-b76f-5697228edfbd")</f>
        <v>b4c0e1d8-3ef3-4973-b76f-5697228edfbd</v>
      </c>
      <c r="C401" s="7">
        <f>IFERROR(__xludf.DUMMYFUNCTION("""COMPUTED_VALUE"""),44967.0)</f>
        <v>44967</v>
      </c>
      <c r="D401" s="8">
        <f>IFERROR(__xludf.DUMMYFUNCTION("""COMPUTED_VALUE"""),5.8826713E7)</f>
        <v>58826713</v>
      </c>
      <c r="E401" s="6" t="str">
        <f>IFERROR(__xludf.DUMMYFUNCTION("""COMPUTED_VALUE"""),"MOVIE")</f>
        <v>MOVIE</v>
      </c>
      <c r="F401" s="6" t="str">
        <f>IFERROR(__xludf.DUMMYFUNCTION("""COMPUTED_VALUE"""),"Drama")</f>
        <v>Drama</v>
      </c>
      <c r="G401" s="6">
        <f>IFERROR(__xludf.DUMMYFUNCTION("""COMPUTED_VALUE"""),64.0)</f>
        <v>64</v>
      </c>
      <c r="H401" s="6">
        <f>IFERROR(__xludf.DUMMYFUNCTION("""COMPUTED_VALUE"""),1.0)</f>
        <v>1</v>
      </c>
      <c r="I401" s="6" t="str">
        <f>IFERROR(__xludf.DUMMYFUNCTION("""COMPUTED_VALUE"""),"Smart Tv")</f>
        <v>Smart Tv</v>
      </c>
      <c r="J401" s="6" t="str">
        <f>IFERROR(__xludf.DUMMYFUNCTION("""COMPUTED_VALUE"""),"India")</f>
        <v>India</v>
      </c>
      <c r="K401" s="6" t="str">
        <f>IFERROR(__xludf.DUMMYFUNCTION("""COMPUTED_VALUE"""),"Basic")</f>
        <v>Basic</v>
      </c>
      <c r="L401" s="6">
        <f>IFERROR(__xludf.DUMMYFUNCTION("""COMPUTED_VALUE"""),1.0)</f>
        <v>1</v>
      </c>
      <c r="M401" s="6" t="str">
        <f>IFERROR(__xludf.DUMMYFUNCTION("""COMPUTED_VALUE"""),"2023-02")</f>
        <v>2023-02</v>
      </c>
    </row>
    <row r="402">
      <c r="A402" s="6" t="str">
        <f>IFERROR(__xludf.DUMMYFUNCTION("""COMPUTED_VALUE"""),"a79f10a2-7602-44d2-a428-231e2a07d254")</f>
        <v>a79f10a2-7602-44d2-a428-231e2a07d254</v>
      </c>
      <c r="B402" s="6" t="str">
        <f>IFERROR(__xludf.DUMMYFUNCTION("""COMPUTED_VALUE"""),"b4d1630a-3268-492b-8c70-e988bd381744")</f>
        <v>b4d1630a-3268-492b-8c70-e988bd381744</v>
      </c>
      <c r="C402" s="7">
        <f>IFERROR(__xludf.DUMMYFUNCTION("""COMPUTED_VALUE"""),44999.0)</f>
        <v>44999</v>
      </c>
      <c r="D402" s="8">
        <f>IFERROR(__xludf.DUMMYFUNCTION("""COMPUTED_VALUE"""),6.8401801E7)</f>
        <v>68401801</v>
      </c>
      <c r="E402" s="6" t="str">
        <f>IFERROR(__xludf.DUMMYFUNCTION("""COMPUTED_VALUE"""),"SERIES")</f>
        <v>SERIES</v>
      </c>
      <c r="F402" s="6" t="str">
        <f>IFERROR(__xludf.DUMMYFUNCTION("""COMPUTED_VALUE"""),"Action")</f>
        <v>Action</v>
      </c>
      <c r="G402" s="6">
        <f>IFERROR(__xludf.DUMMYFUNCTION("""COMPUTED_VALUE"""),15.0)</f>
        <v>15</v>
      </c>
      <c r="H402" s="6">
        <f>IFERROR(__xludf.DUMMYFUNCTION("""COMPUTED_VALUE"""),1.0)</f>
        <v>1</v>
      </c>
      <c r="I402" s="6" t="str">
        <f>IFERROR(__xludf.DUMMYFUNCTION("""COMPUTED_VALUE"""),"Smart Tv")</f>
        <v>Smart Tv</v>
      </c>
      <c r="J402" s="6" t="str">
        <f>IFERROR(__xludf.DUMMYFUNCTION("""COMPUTED_VALUE"""),"Uk")</f>
        <v>Uk</v>
      </c>
      <c r="K402" s="6" t="str">
        <f>IFERROR(__xludf.DUMMYFUNCTION("""COMPUTED_VALUE"""),"Basic")</f>
        <v>Basic</v>
      </c>
      <c r="L402" s="6">
        <f>IFERROR(__xludf.DUMMYFUNCTION("""COMPUTED_VALUE"""),1.0)</f>
        <v>1</v>
      </c>
      <c r="M402" s="6" t="str">
        <f>IFERROR(__xludf.DUMMYFUNCTION("""COMPUTED_VALUE"""),"2023-03")</f>
        <v>2023-03</v>
      </c>
    </row>
    <row r="403">
      <c r="A403" s="6" t="str">
        <f>IFERROR(__xludf.DUMMYFUNCTION("""COMPUTED_VALUE"""),"86565c4d-3dfc-4aed-8f71-7e9c9adfb305")</f>
        <v>86565c4d-3dfc-4aed-8f71-7e9c9adfb305</v>
      </c>
      <c r="B403" s="6" t="str">
        <f>IFERROR(__xludf.DUMMYFUNCTION("""COMPUTED_VALUE"""),"b4d55b9d-46d6-45b6-90ea-b93a234ed197")</f>
        <v>b4d55b9d-46d6-45b6-90ea-b93a234ed197</v>
      </c>
      <c r="C403" s="7">
        <f>IFERROR(__xludf.DUMMYFUNCTION("""COMPUTED_VALUE"""),45240.0)</f>
        <v>45240</v>
      </c>
      <c r="D403" s="8">
        <f>IFERROR(__xludf.DUMMYFUNCTION("""COMPUTED_VALUE"""),9.4866216E7)</f>
        <v>94866216</v>
      </c>
      <c r="E403" s="6" t="str">
        <f>IFERROR(__xludf.DUMMYFUNCTION("""COMPUTED_VALUE"""),"MOVIE")</f>
        <v>MOVIE</v>
      </c>
      <c r="F403" s="6" t="str">
        <f>IFERROR(__xludf.DUMMYFUNCTION("""COMPUTED_VALUE"""),"Sci-Fi")</f>
        <v>Sci-Fi</v>
      </c>
      <c r="G403" s="6">
        <f>IFERROR(__xludf.DUMMYFUNCTION("""COMPUTED_VALUE"""),112.0)</f>
        <v>112</v>
      </c>
      <c r="H403" s="6">
        <f>IFERROR(__xludf.DUMMYFUNCTION("""COMPUTED_VALUE"""),1.0)</f>
        <v>1</v>
      </c>
      <c r="I403" s="6" t="str">
        <f>IFERROR(__xludf.DUMMYFUNCTION("""COMPUTED_VALUE"""),"Mobile")</f>
        <v>Mobile</v>
      </c>
      <c r="J403" s="6" t="str">
        <f>IFERROR(__xludf.DUMMYFUNCTION("""COMPUTED_VALUE"""),"Uk")</f>
        <v>Uk</v>
      </c>
      <c r="K403" s="6" t="str">
        <f>IFERROR(__xludf.DUMMYFUNCTION("""COMPUTED_VALUE"""),"Basic")</f>
        <v>Basic</v>
      </c>
      <c r="L403" s="6">
        <f>IFERROR(__xludf.DUMMYFUNCTION("""COMPUTED_VALUE"""),0.0)</f>
        <v>0</v>
      </c>
      <c r="M403" s="6" t="str">
        <f>IFERROR(__xludf.DUMMYFUNCTION("""COMPUTED_VALUE"""),"2023-11")</f>
        <v>2023-11</v>
      </c>
    </row>
    <row r="404">
      <c r="A404" s="6" t="str">
        <f>IFERROR(__xludf.DUMMYFUNCTION("""COMPUTED_VALUE"""),"52c71bbd-94b2-4c54-be2b-0f3a655ff99f")</f>
        <v>52c71bbd-94b2-4c54-be2b-0f3a655ff99f</v>
      </c>
      <c r="B404" s="6" t="str">
        <f>IFERROR(__xludf.DUMMYFUNCTION("""COMPUTED_VALUE"""),"b57a7fad-b34c-460d-bbb6-c71072748683")</f>
        <v>b57a7fad-b34c-460d-bbb6-c71072748683</v>
      </c>
      <c r="C404" s="7">
        <f>IFERROR(__xludf.DUMMYFUNCTION("""COMPUTED_VALUE"""),44930.0)</f>
        <v>44930</v>
      </c>
      <c r="D404" s="8">
        <f>IFERROR(__xludf.DUMMYFUNCTION("""COMPUTED_VALUE"""),5124046.0)</f>
        <v>5124046</v>
      </c>
      <c r="E404" s="6" t="str">
        <f>IFERROR(__xludf.DUMMYFUNCTION("""COMPUTED_VALUE"""),"SERIES")</f>
        <v>SERIES</v>
      </c>
      <c r="F404" s="6" t="str">
        <f>IFERROR(__xludf.DUMMYFUNCTION("""COMPUTED_VALUE"""),"Thriller")</f>
        <v>Thriller</v>
      </c>
      <c r="G404" s="6">
        <f>IFERROR(__xludf.DUMMYFUNCTION("""COMPUTED_VALUE"""),171.0)</f>
        <v>171</v>
      </c>
      <c r="H404" s="6">
        <f>IFERROR(__xludf.DUMMYFUNCTION("""COMPUTED_VALUE"""),0.0)</f>
        <v>0</v>
      </c>
      <c r="I404" s="6" t="str">
        <f>IFERROR(__xludf.DUMMYFUNCTION("""COMPUTED_VALUE"""),"Desktop")</f>
        <v>Desktop</v>
      </c>
      <c r="J404" s="6" t="str">
        <f>IFERROR(__xludf.DUMMYFUNCTION("""COMPUTED_VALUE"""),"France")</f>
        <v>France</v>
      </c>
      <c r="K404" s="6" t="str">
        <f>IFERROR(__xludf.DUMMYFUNCTION("""COMPUTED_VALUE"""),"Standard")</f>
        <v>Standard</v>
      </c>
      <c r="L404" s="6">
        <f>IFERROR(__xludf.DUMMYFUNCTION("""COMPUTED_VALUE"""),0.0)</f>
        <v>0</v>
      </c>
      <c r="M404" s="6" t="str">
        <f>IFERROR(__xludf.DUMMYFUNCTION("""COMPUTED_VALUE"""),"2023-01")</f>
        <v>2023-01</v>
      </c>
    </row>
    <row r="405">
      <c r="A405" s="6" t="str">
        <f>IFERROR(__xludf.DUMMYFUNCTION("""COMPUTED_VALUE"""),"51517caf-91c8-4918-b48c-3af0a7be5443")</f>
        <v>51517caf-91c8-4918-b48c-3af0a7be5443</v>
      </c>
      <c r="B405" s="6" t="str">
        <f>IFERROR(__xludf.DUMMYFUNCTION("""COMPUTED_VALUE"""),"b5edc7eb-35d3-47e0-ab36-8a8f2549a9b7")</f>
        <v>b5edc7eb-35d3-47e0-ab36-8a8f2549a9b7</v>
      </c>
      <c r="C405" s="7">
        <f>IFERROR(__xludf.DUMMYFUNCTION("""COMPUTED_VALUE"""),44963.0)</f>
        <v>44963</v>
      </c>
      <c r="D405" s="8">
        <f>IFERROR(__xludf.DUMMYFUNCTION("""COMPUTED_VALUE"""),1973655.0)</f>
        <v>1973655</v>
      </c>
      <c r="E405" s="6" t="str">
        <f>IFERROR(__xludf.DUMMYFUNCTION("""COMPUTED_VALUE"""),"DOCUMENTARY")</f>
        <v>DOCUMENTARY</v>
      </c>
      <c r="F405" s="6" t="str">
        <f>IFERROR(__xludf.DUMMYFUNCTION("""COMPUTED_VALUE"""),"Action")</f>
        <v>Action</v>
      </c>
      <c r="G405" s="6">
        <f>IFERROR(__xludf.DUMMYFUNCTION("""COMPUTED_VALUE"""),146.0)</f>
        <v>146</v>
      </c>
      <c r="H405" s="6">
        <f>IFERROR(__xludf.DUMMYFUNCTION("""COMPUTED_VALUE"""),1.0)</f>
        <v>1</v>
      </c>
      <c r="I405" s="6" t="str">
        <f>IFERROR(__xludf.DUMMYFUNCTION("""COMPUTED_VALUE"""),"Mobile")</f>
        <v>Mobile</v>
      </c>
      <c r="J405" s="6" t="str">
        <f>IFERROR(__xludf.DUMMYFUNCTION("""COMPUTED_VALUE"""),"Uk")</f>
        <v>Uk</v>
      </c>
      <c r="K405" s="6" t="str">
        <f>IFERROR(__xludf.DUMMYFUNCTION("""COMPUTED_VALUE"""),"Standard")</f>
        <v>Standard</v>
      </c>
      <c r="L405" s="6">
        <f>IFERROR(__xludf.DUMMYFUNCTION("""COMPUTED_VALUE"""),0.0)</f>
        <v>0</v>
      </c>
      <c r="M405" s="6" t="str">
        <f>IFERROR(__xludf.DUMMYFUNCTION("""COMPUTED_VALUE"""),"2023-02")</f>
        <v>2023-02</v>
      </c>
    </row>
    <row r="406">
      <c r="A406" s="6" t="str">
        <f>IFERROR(__xludf.DUMMYFUNCTION("""COMPUTED_VALUE"""),"33976f54-a627-411c-a741-92a6a15d00f2")</f>
        <v>33976f54-a627-411c-a741-92a6a15d00f2</v>
      </c>
      <c r="B406" s="6" t="str">
        <f>IFERROR(__xludf.DUMMYFUNCTION("""COMPUTED_VALUE"""),"b6ca285a-541e-45b5-be11-3c1ba78450ee")</f>
        <v>b6ca285a-541e-45b5-be11-3c1ba78450ee</v>
      </c>
      <c r="C406" s="7">
        <f>IFERROR(__xludf.DUMMYFUNCTION("""COMPUTED_VALUE"""),45041.0)</f>
        <v>45041</v>
      </c>
      <c r="D406" s="8">
        <f>IFERROR(__xludf.DUMMYFUNCTION("""COMPUTED_VALUE"""),1.0331217E7)</f>
        <v>10331217</v>
      </c>
      <c r="E406" s="6" t="str">
        <f>IFERROR(__xludf.DUMMYFUNCTION("""COMPUTED_VALUE"""),"MOVIE")</f>
        <v>MOVIE</v>
      </c>
      <c r="F406" s="6" t="str">
        <f>IFERROR(__xludf.DUMMYFUNCTION("""COMPUTED_VALUE"""),"Action")</f>
        <v>Action</v>
      </c>
      <c r="G406" s="6">
        <f>IFERROR(__xludf.DUMMYFUNCTION("""COMPUTED_VALUE"""),85.0)</f>
        <v>85</v>
      </c>
      <c r="H406" s="6">
        <f>IFERROR(__xludf.DUMMYFUNCTION("""COMPUTED_VALUE"""),1.0)</f>
        <v>1</v>
      </c>
      <c r="I406" s="6" t="str">
        <f>IFERROR(__xludf.DUMMYFUNCTION("""COMPUTED_VALUE"""),"Smart Tv")</f>
        <v>Smart Tv</v>
      </c>
      <c r="J406" s="6" t="str">
        <f>IFERROR(__xludf.DUMMYFUNCTION("""COMPUTED_VALUE"""),"India")</f>
        <v>India</v>
      </c>
      <c r="K406" s="6" t="str">
        <f>IFERROR(__xludf.DUMMYFUNCTION("""COMPUTED_VALUE"""),"Basic")</f>
        <v>Basic</v>
      </c>
      <c r="L406" s="6">
        <f>IFERROR(__xludf.DUMMYFUNCTION("""COMPUTED_VALUE"""),0.0)</f>
        <v>0</v>
      </c>
      <c r="M406" s="6" t="str">
        <f>IFERROR(__xludf.DUMMYFUNCTION("""COMPUTED_VALUE"""),"2023-04")</f>
        <v>2023-04</v>
      </c>
    </row>
    <row r="407">
      <c r="A407" s="6" t="str">
        <f>IFERROR(__xludf.DUMMYFUNCTION("""COMPUTED_VALUE"""),"fd2fd1af-dcc1-49a8-a303-166416c7e56a")</f>
        <v>fd2fd1af-dcc1-49a8-a303-166416c7e56a</v>
      </c>
      <c r="B407" s="6" t="str">
        <f>IFERROR(__xludf.DUMMYFUNCTION("""COMPUTED_VALUE"""),"b7138d19-26ac-46c3-b9e6-e3e903b9151c")</f>
        <v>b7138d19-26ac-46c3-b9e6-e3e903b9151c</v>
      </c>
      <c r="C407" s="7">
        <f>IFERROR(__xludf.DUMMYFUNCTION("""COMPUTED_VALUE"""),45024.0)</f>
        <v>45024</v>
      </c>
      <c r="D407" s="8">
        <f>IFERROR(__xludf.DUMMYFUNCTION("""COMPUTED_VALUE"""),2.4628464E7)</f>
        <v>24628464</v>
      </c>
      <c r="E407" s="6" t="str">
        <f>IFERROR(__xludf.DUMMYFUNCTION("""COMPUTED_VALUE"""),"MOVIE")</f>
        <v>MOVIE</v>
      </c>
      <c r="F407" s="6" t="str">
        <f>IFERROR(__xludf.DUMMYFUNCTION("""COMPUTED_VALUE"""),"Drama")</f>
        <v>Drama</v>
      </c>
      <c r="G407" s="6">
        <f>IFERROR(__xludf.DUMMYFUNCTION("""COMPUTED_VALUE"""),118.0)</f>
        <v>118</v>
      </c>
      <c r="H407" s="6">
        <f>IFERROR(__xludf.DUMMYFUNCTION("""COMPUTED_VALUE"""),1.0)</f>
        <v>1</v>
      </c>
      <c r="I407" s="6" t="str">
        <f>IFERROR(__xludf.DUMMYFUNCTION("""COMPUTED_VALUE"""),"Desktop")</f>
        <v>Desktop</v>
      </c>
      <c r="J407" s="6" t="str">
        <f>IFERROR(__xludf.DUMMYFUNCTION("""COMPUTED_VALUE"""),"Germany")</f>
        <v>Germany</v>
      </c>
      <c r="K407" s="6" t="str">
        <f>IFERROR(__xludf.DUMMYFUNCTION("""COMPUTED_VALUE"""),"Premium")</f>
        <v>Premium</v>
      </c>
      <c r="L407" s="6">
        <f>IFERROR(__xludf.DUMMYFUNCTION("""COMPUTED_VALUE"""),0.0)</f>
        <v>0</v>
      </c>
      <c r="M407" s="6" t="str">
        <f>IFERROR(__xludf.DUMMYFUNCTION("""COMPUTED_VALUE"""),"2023-04")</f>
        <v>2023-04</v>
      </c>
    </row>
    <row r="408">
      <c r="A408" s="6" t="str">
        <f>IFERROR(__xludf.DUMMYFUNCTION("""COMPUTED_VALUE"""),"6847b6d3-1bb9-4a28-939f-c0fa965db589")</f>
        <v>6847b6d3-1bb9-4a28-939f-c0fa965db589</v>
      </c>
      <c r="B408" s="6" t="str">
        <f>IFERROR(__xludf.DUMMYFUNCTION("""COMPUTED_VALUE"""),"b8479ed1-55fe-4307-9371-deb152dbbe53")</f>
        <v>b8479ed1-55fe-4307-9371-deb152dbbe53</v>
      </c>
      <c r="C408" s="7">
        <f>IFERROR(__xludf.DUMMYFUNCTION("""COMPUTED_VALUE"""),45132.0)</f>
        <v>45132</v>
      </c>
      <c r="D408" s="8">
        <f>IFERROR(__xludf.DUMMYFUNCTION("""COMPUTED_VALUE"""),8.3177217E7)</f>
        <v>83177217</v>
      </c>
      <c r="E408" s="6" t="str">
        <f>IFERROR(__xludf.DUMMYFUNCTION("""COMPUTED_VALUE"""),"MOVIE")</f>
        <v>MOVIE</v>
      </c>
      <c r="F408" s="6" t="str">
        <f>IFERROR(__xludf.DUMMYFUNCTION("""COMPUTED_VALUE"""),"Action")</f>
        <v>Action</v>
      </c>
      <c r="G408" s="6">
        <f>IFERROR(__xludf.DUMMYFUNCTION("""COMPUTED_VALUE"""),70.0)</f>
        <v>70</v>
      </c>
      <c r="H408" s="6">
        <f>IFERROR(__xludf.DUMMYFUNCTION("""COMPUTED_VALUE"""),0.0)</f>
        <v>0</v>
      </c>
      <c r="I408" s="6" t="str">
        <f>IFERROR(__xludf.DUMMYFUNCTION("""COMPUTED_VALUE"""),"Desktop")</f>
        <v>Desktop</v>
      </c>
      <c r="J408" s="6" t="str">
        <f>IFERROR(__xludf.DUMMYFUNCTION("""COMPUTED_VALUE"""),"India")</f>
        <v>India</v>
      </c>
      <c r="K408" s="6" t="str">
        <f>IFERROR(__xludf.DUMMYFUNCTION("""COMPUTED_VALUE"""),"Premium")</f>
        <v>Premium</v>
      </c>
      <c r="L408" s="6">
        <f>IFERROR(__xludf.DUMMYFUNCTION("""COMPUTED_VALUE"""),0.0)</f>
        <v>0</v>
      </c>
      <c r="M408" s="6" t="str">
        <f>IFERROR(__xludf.DUMMYFUNCTION("""COMPUTED_VALUE"""),"2023-07")</f>
        <v>2023-07</v>
      </c>
    </row>
    <row r="409">
      <c r="A409" s="6" t="str">
        <f>IFERROR(__xludf.DUMMYFUNCTION("""COMPUTED_VALUE"""),"e8c7d9f1-08e0-4b59-bea5-6143989fc9ec")</f>
        <v>e8c7d9f1-08e0-4b59-bea5-6143989fc9ec</v>
      </c>
      <c r="B409" s="6" t="str">
        <f>IFERROR(__xludf.DUMMYFUNCTION("""COMPUTED_VALUE"""),"b928e6a0-540b-4efd-94ef-344d6b66ba26")</f>
        <v>b928e6a0-540b-4efd-94ef-344d6b66ba26</v>
      </c>
      <c r="C409" s="7">
        <f>IFERROR(__xludf.DUMMYFUNCTION("""COMPUTED_VALUE"""),45255.0)</f>
        <v>45255</v>
      </c>
      <c r="D409" s="8">
        <f>IFERROR(__xludf.DUMMYFUNCTION("""COMPUTED_VALUE"""),7.9132411E7)</f>
        <v>79132411</v>
      </c>
      <c r="E409" s="6" t="str">
        <f>IFERROR(__xludf.DUMMYFUNCTION("""COMPUTED_VALUE"""),"SERIES")</f>
        <v>SERIES</v>
      </c>
      <c r="F409" s="6" t="str">
        <f>IFERROR(__xludf.DUMMYFUNCTION("""COMPUTED_VALUE"""),"Action")</f>
        <v>Action</v>
      </c>
      <c r="G409" s="6">
        <f>IFERROR(__xludf.DUMMYFUNCTION("""COMPUTED_VALUE"""),96.0)</f>
        <v>96</v>
      </c>
      <c r="H409" s="6">
        <f>IFERROR(__xludf.DUMMYFUNCTION("""COMPUTED_VALUE"""),0.0)</f>
        <v>0</v>
      </c>
      <c r="I409" s="6" t="str">
        <f>IFERROR(__xludf.DUMMYFUNCTION("""COMPUTED_VALUE"""),"Mobile")</f>
        <v>Mobile</v>
      </c>
      <c r="J409" s="6" t="str">
        <f>IFERROR(__xludf.DUMMYFUNCTION("""COMPUTED_VALUE"""),"Usa")</f>
        <v>Usa</v>
      </c>
      <c r="K409" s="6" t="str">
        <f>IFERROR(__xludf.DUMMYFUNCTION("""COMPUTED_VALUE"""),"Standard")</f>
        <v>Standard</v>
      </c>
      <c r="L409" s="6">
        <f>IFERROR(__xludf.DUMMYFUNCTION("""COMPUTED_VALUE"""),0.0)</f>
        <v>0</v>
      </c>
      <c r="M409" s="6" t="str">
        <f>IFERROR(__xludf.DUMMYFUNCTION("""COMPUTED_VALUE"""),"2023-11")</f>
        <v>2023-11</v>
      </c>
    </row>
    <row r="410">
      <c r="A410" s="6" t="str">
        <f>IFERROR(__xludf.DUMMYFUNCTION("""COMPUTED_VALUE"""),"b937a895-5dc4-4729-98a0-36a023232020")</f>
        <v>b937a895-5dc4-4729-98a0-36a023232020</v>
      </c>
      <c r="B410" s="6" t="str">
        <f>IFERROR(__xludf.DUMMYFUNCTION("""COMPUTED_VALUE"""),"b98f2acd-02b8-401b-9e8d-885c6c524da8")</f>
        <v>b98f2acd-02b8-401b-9e8d-885c6c524da8</v>
      </c>
      <c r="C410" s="7">
        <f>IFERROR(__xludf.DUMMYFUNCTION("""COMPUTED_VALUE"""),45084.0)</f>
        <v>45084</v>
      </c>
      <c r="D410" s="8">
        <f>IFERROR(__xludf.DUMMYFUNCTION("""COMPUTED_VALUE"""),8.0500193E7)</f>
        <v>80500193</v>
      </c>
      <c r="E410" s="6" t="str">
        <f>IFERROR(__xludf.DUMMYFUNCTION("""COMPUTED_VALUE"""),"DOCUMENTARY")</f>
        <v>DOCUMENTARY</v>
      </c>
      <c r="F410" s="6" t="str">
        <f>IFERROR(__xludf.DUMMYFUNCTION("""COMPUTED_VALUE"""),"Thriller")</f>
        <v>Thriller</v>
      </c>
      <c r="G410" s="6">
        <f>IFERROR(__xludf.DUMMYFUNCTION("""COMPUTED_VALUE"""),166.0)</f>
        <v>166</v>
      </c>
      <c r="H410" s="6">
        <f>IFERROR(__xludf.DUMMYFUNCTION("""COMPUTED_VALUE"""),1.0)</f>
        <v>1</v>
      </c>
      <c r="I410" s="6" t="str">
        <f>IFERROR(__xludf.DUMMYFUNCTION("""COMPUTED_VALUE"""),"Smart Tv")</f>
        <v>Smart Tv</v>
      </c>
      <c r="J410" s="6" t="str">
        <f>IFERROR(__xludf.DUMMYFUNCTION("""COMPUTED_VALUE"""),"Germany")</f>
        <v>Germany</v>
      </c>
      <c r="K410" s="6" t="str">
        <f>IFERROR(__xludf.DUMMYFUNCTION("""COMPUTED_VALUE"""),"Standard")</f>
        <v>Standard</v>
      </c>
      <c r="L410" s="6">
        <f>IFERROR(__xludf.DUMMYFUNCTION("""COMPUTED_VALUE"""),0.0)</f>
        <v>0</v>
      </c>
      <c r="M410" s="6" t="str">
        <f>IFERROR(__xludf.DUMMYFUNCTION("""COMPUTED_VALUE"""),"2023-06")</f>
        <v>2023-06</v>
      </c>
    </row>
    <row r="411">
      <c r="A411" s="6" t="str">
        <f>IFERROR(__xludf.DUMMYFUNCTION("""COMPUTED_VALUE"""),"2a38cb43-c741-479f-8acb-134cc31d22be")</f>
        <v>2a38cb43-c741-479f-8acb-134cc31d22be</v>
      </c>
      <c r="B411" s="6" t="str">
        <f>IFERROR(__xludf.DUMMYFUNCTION("""COMPUTED_VALUE"""),"ba837d90-8953-4484-adde-60d2bed50932")</f>
        <v>ba837d90-8953-4484-adde-60d2bed50932</v>
      </c>
      <c r="C411" s="7">
        <f>IFERROR(__xludf.DUMMYFUNCTION("""COMPUTED_VALUE"""),45272.0)</f>
        <v>45272</v>
      </c>
      <c r="D411" s="8">
        <f>IFERROR(__xludf.DUMMYFUNCTION("""COMPUTED_VALUE"""),3.3449852E7)</f>
        <v>33449852</v>
      </c>
      <c r="E411" s="6" t="str">
        <f>IFERROR(__xludf.DUMMYFUNCTION("""COMPUTED_VALUE"""),"DOCUMENTARY")</f>
        <v>DOCUMENTARY</v>
      </c>
      <c r="F411" s="6" t="str">
        <f>IFERROR(__xludf.DUMMYFUNCTION("""COMPUTED_VALUE"""),"Thriller")</f>
        <v>Thriller</v>
      </c>
      <c r="G411" s="6">
        <f>IFERROR(__xludf.DUMMYFUNCTION("""COMPUTED_VALUE"""),99.0)</f>
        <v>99</v>
      </c>
      <c r="H411" s="6">
        <f>IFERROR(__xludf.DUMMYFUNCTION("""COMPUTED_VALUE"""),1.0)</f>
        <v>1</v>
      </c>
      <c r="I411" s="6" t="str">
        <f>IFERROR(__xludf.DUMMYFUNCTION("""COMPUTED_VALUE"""),"Tablet")</f>
        <v>Tablet</v>
      </c>
      <c r="J411" s="6" t="str">
        <f>IFERROR(__xludf.DUMMYFUNCTION("""COMPUTED_VALUE"""),"Usa")</f>
        <v>Usa</v>
      </c>
      <c r="K411" s="6" t="str">
        <f>IFERROR(__xludf.DUMMYFUNCTION("""COMPUTED_VALUE"""),"Basic")</f>
        <v>Basic</v>
      </c>
      <c r="L411" s="6">
        <f>IFERROR(__xludf.DUMMYFUNCTION("""COMPUTED_VALUE"""),0.0)</f>
        <v>0</v>
      </c>
      <c r="M411" s="6" t="str">
        <f>IFERROR(__xludf.DUMMYFUNCTION("""COMPUTED_VALUE"""),"2023-12")</f>
        <v>2023-12</v>
      </c>
    </row>
    <row r="412">
      <c r="A412" s="6" t="str">
        <f>IFERROR(__xludf.DUMMYFUNCTION("""COMPUTED_VALUE"""),"26df5bb2-c5bf-4783-89c1-ce42ee12ea33")</f>
        <v>26df5bb2-c5bf-4783-89c1-ce42ee12ea33</v>
      </c>
      <c r="B412" s="6" t="str">
        <f>IFERROR(__xludf.DUMMYFUNCTION("""COMPUTED_VALUE"""),"baebcab1-41e2-4d78-beb1-bb7bdb1e6e6b")</f>
        <v>baebcab1-41e2-4d78-beb1-bb7bdb1e6e6b</v>
      </c>
      <c r="C412" s="7">
        <f>IFERROR(__xludf.DUMMYFUNCTION("""COMPUTED_VALUE"""),45181.0)</f>
        <v>45181</v>
      </c>
      <c r="D412" s="8">
        <f>IFERROR(__xludf.DUMMYFUNCTION("""COMPUTED_VALUE"""),5.2192104E7)</f>
        <v>52192104</v>
      </c>
      <c r="E412" s="6" t="str">
        <f>IFERROR(__xludf.DUMMYFUNCTION("""COMPUTED_VALUE"""),"MOVIE")</f>
        <v>MOVIE</v>
      </c>
      <c r="F412" s="6" t="str">
        <f>IFERROR(__xludf.DUMMYFUNCTION("""COMPUTED_VALUE"""),"Sci-Fi")</f>
        <v>Sci-Fi</v>
      </c>
      <c r="G412" s="6">
        <f>IFERROR(__xludf.DUMMYFUNCTION("""COMPUTED_VALUE"""),9.0)</f>
        <v>9</v>
      </c>
      <c r="H412" s="6">
        <f>IFERROR(__xludf.DUMMYFUNCTION("""COMPUTED_VALUE"""),0.0)</f>
        <v>0</v>
      </c>
      <c r="I412" s="6" t="str">
        <f>IFERROR(__xludf.DUMMYFUNCTION("""COMPUTED_VALUE"""),"Desktop")</f>
        <v>Desktop</v>
      </c>
      <c r="J412" s="6" t="str">
        <f>IFERROR(__xludf.DUMMYFUNCTION("""COMPUTED_VALUE"""),"Germany")</f>
        <v>Germany</v>
      </c>
      <c r="K412" s="6" t="str">
        <f>IFERROR(__xludf.DUMMYFUNCTION("""COMPUTED_VALUE"""),"Basic")</f>
        <v>Basic</v>
      </c>
      <c r="L412" s="6">
        <f>IFERROR(__xludf.DUMMYFUNCTION("""COMPUTED_VALUE"""),0.0)</f>
        <v>0</v>
      </c>
      <c r="M412" s="6" t="str">
        <f>IFERROR(__xludf.DUMMYFUNCTION("""COMPUTED_VALUE"""),"2023-09")</f>
        <v>2023-09</v>
      </c>
    </row>
    <row r="413">
      <c r="A413" s="6" t="str">
        <f>IFERROR(__xludf.DUMMYFUNCTION("""COMPUTED_VALUE"""),"56731588-79d3-4f63-8c4a-3950345d7816")</f>
        <v>56731588-79d3-4f63-8c4a-3950345d7816</v>
      </c>
      <c r="B413" s="6" t="str">
        <f>IFERROR(__xludf.DUMMYFUNCTION("""COMPUTED_VALUE"""),"bb352ec1-3e1a-47de-8214-f93c3152e057")</f>
        <v>bb352ec1-3e1a-47de-8214-f93c3152e057</v>
      </c>
      <c r="C413" s="7">
        <f>IFERROR(__xludf.DUMMYFUNCTION("""COMPUTED_VALUE"""),45228.0)</f>
        <v>45228</v>
      </c>
      <c r="D413" s="8">
        <f>IFERROR(__xludf.DUMMYFUNCTION("""COMPUTED_VALUE"""),1.3019051E7)</f>
        <v>13019051</v>
      </c>
      <c r="E413" s="6" t="str">
        <f>IFERROR(__xludf.DUMMYFUNCTION("""COMPUTED_VALUE"""),"SERIES")</f>
        <v>SERIES</v>
      </c>
      <c r="F413" s="6" t="str">
        <f>IFERROR(__xludf.DUMMYFUNCTION("""COMPUTED_VALUE"""),"Sci-Fi")</f>
        <v>Sci-Fi</v>
      </c>
      <c r="G413" s="6">
        <f>IFERROR(__xludf.DUMMYFUNCTION("""COMPUTED_VALUE"""),9.0)</f>
        <v>9</v>
      </c>
      <c r="H413" s="6">
        <f>IFERROR(__xludf.DUMMYFUNCTION("""COMPUTED_VALUE"""),1.0)</f>
        <v>1</v>
      </c>
      <c r="I413" s="6" t="str">
        <f>IFERROR(__xludf.DUMMYFUNCTION("""COMPUTED_VALUE"""),"Tablet")</f>
        <v>Tablet</v>
      </c>
      <c r="J413" s="6" t="str">
        <f>IFERROR(__xludf.DUMMYFUNCTION("""COMPUTED_VALUE"""),"India")</f>
        <v>India</v>
      </c>
      <c r="K413" s="6" t="str">
        <f>IFERROR(__xludf.DUMMYFUNCTION("""COMPUTED_VALUE"""),"Premium")</f>
        <v>Premium</v>
      </c>
      <c r="L413" s="6">
        <f>IFERROR(__xludf.DUMMYFUNCTION("""COMPUTED_VALUE"""),0.0)</f>
        <v>0</v>
      </c>
      <c r="M413" s="6" t="str">
        <f>IFERROR(__xludf.DUMMYFUNCTION("""COMPUTED_VALUE"""),"2023-10")</f>
        <v>2023-10</v>
      </c>
    </row>
    <row r="414">
      <c r="A414" s="6" t="str">
        <f>IFERROR(__xludf.DUMMYFUNCTION("""COMPUTED_VALUE"""),"e2c38e54-d20d-4312-a41d-2c338695f9b8")</f>
        <v>e2c38e54-d20d-4312-a41d-2c338695f9b8</v>
      </c>
      <c r="B414" s="6" t="str">
        <f>IFERROR(__xludf.DUMMYFUNCTION("""COMPUTED_VALUE"""),"bb933b84-9e99-4246-b4d3-835c41d74a3c")</f>
        <v>bb933b84-9e99-4246-b4d3-835c41d74a3c</v>
      </c>
      <c r="C414" s="7">
        <f>IFERROR(__xludf.DUMMYFUNCTION("""COMPUTED_VALUE"""),45165.0)</f>
        <v>45165</v>
      </c>
      <c r="D414" s="8">
        <f>IFERROR(__xludf.DUMMYFUNCTION("""COMPUTED_VALUE"""),5353071.0)</f>
        <v>5353071</v>
      </c>
      <c r="E414" s="6" t="str">
        <f>IFERROR(__xludf.DUMMYFUNCTION("""COMPUTED_VALUE"""),"SERIES")</f>
        <v>SERIES</v>
      </c>
      <c r="F414" s="6" t="str">
        <f>IFERROR(__xludf.DUMMYFUNCTION("""COMPUTED_VALUE"""),"Comedy")</f>
        <v>Comedy</v>
      </c>
      <c r="G414" s="6">
        <f>IFERROR(__xludf.DUMMYFUNCTION("""COMPUTED_VALUE"""),46.0)</f>
        <v>46</v>
      </c>
      <c r="H414" s="6">
        <f>IFERROR(__xludf.DUMMYFUNCTION("""COMPUTED_VALUE"""),1.0)</f>
        <v>1</v>
      </c>
      <c r="I414" s="6" t="str">
        <f>IFERROR(__xludf.DUMMYFUNCTION("""COMPUTED_VALUE"""),"Tablet")</f>
        <v>Tablet</v>
      </c>
      <c r="J414" s="6" t="str">
        <f>IFERROR(__xludf.DUMMYFUNCTION("""COMPUTED_VALUE"""),"Uk")</f>
        <v>Uk</v>
      </c>
      <c r="K414" s="6" t="str">
        <f>IFERROR(__xludf.DUMMYFUNCTION("""COMPUTED_VALUE"""),"Standard")</f>
        <v>Standard</v>
      </c>
      <c r="L414" s="6">
        <f>IFERROR(__xludf.DUMMYFUNCTION("""COMPUTED_VALUE"""),0.0)</f>
        <v>0</v>
      </c>
      <c r="M414" s="6" t="str">
        <f>IFERROR(__xludf.DUMMYFUNCTION("""COMPUTED_VALUE"""),"2023-08")</f>
        <v>2023-08</v>
      </c>
    </row>
    <row r="415">
      <c r="A415" s="6" t="str">
        <f>IFERROR(__xludf.DUMMYFUNCTION("""COMPUTED_VALUE"""),"6600bef8-4b4e-4db2-8eb1-d9fd33dc02db")</f>
        <v>6600bef8-4b4e-4db2-8eb1-d9fd33dc02db</v>
      </c>
      <c r="B415" s="6" t="str">
        <f>IFERROR(__xludf.DUMMYFUNCTION("""COMPUTED_VALUE"""),"bbc8a22d-73ce-4dc5-b24e-bcd0471eda53")</f>
        <v>bbc8a22d-73ce-4dc5-b24e-bcd0471eda53</v>
      </c>
      <c r="C415" s="7">
        <f>IFERROR(__xludf.DUMMYFUNCTION("""COMPUTED_VALUE"""),45018.0)</f>
        <v>45018</v>
      </c>
      <c r="D415" s="8">
        <f>IFERROR(__xludf.DUMMYFUNCTION("""COMPUTED_VALUE"""),2.839093E7)</f>
        <v>28390930</v>
      </c>
      <c r="E415" s="6" t="str">
        <f>IFERROR(__xludf.DUMMYFUNCTION("""COMPUTED_VALUE"""),"SERIES")</f>
        <v>SERIES</v>
      </c>
      <c r="F415" s="6" t="str">
        <f>IFERROR(__xludf.DUMMYFUNCTION("""COMPUTED_VALUE"""),"Comedy")</f>
        <v>Comedy</v>
      </c>
      <c r="G415" s="6">
        <f>IFERROR(__xludf.DUMMYFUNCTION("""COMPUTED_VALUE"""),81.0)</f>
        <v>81</v>
      </c>
      <c r="H415" s="6">
        <f>IFERROR(__xludf.DUMMYFUNCTION("""COMPUTED_VALUE"""),0.0)</f>
        <v>0</v>
      </c>
      <c r="I415" s="6" t="str">
        <f>IFERROR(__xludf.DUMMYFUNCTION("""COMPUTED_VALUE"""),"Tablet")</f>
        <v>Tablet</v>
      </c>
      <c r="J415" s="6" t="str">
        <f>IFERROR(__xludf.DUMMYFUNCTION("""COMPUTED_VALUE"""),"Uk")</f>
        <v>Uk</v>
      </c>
      <c r="K415" s="6" t="str">
        <f>IFERROR(__xludf.DUMMYFUNCTION("""COMPUTED_VALUE"""),"Standard")</f>
        <v>Standard</v>
      </c>
      <c r="L415" s="6">
        <f>IFERROR(__xludf.DUMMYFUNCTION("""COMPUTED_VALUE"""),0.0)</f>
        <v>0</v>
      </c>
      <c r="M415" s="6" t="str">
        <f>IFERROR(__xludf.DUMMYFUNCTION("""COMPUTED_VALUE"""),"2023-04")</f>
        <v>2023-04</v>
      </c>
    </row>
    <row r="416">
      <c r="A416" s="6" t="str">
        <f>IFERROR(__xludf.DUMMYFUNCTION("""COMPUTED_VALUE"""),"b3be5167-0946-4e6f-b215-100e6272e2af")</f>
        <v>b3be5167-0946-4e6f-b215-100e6272e2af</v>
      </c>
      <c r="B416" s="6" t="str">
        <f>IFERROR(__xludf.DUMMYFUNCTION("""COMPUTED_VALUE"""),"bbfede43-b337-4d27-89a3-9f6605160274")</f>
        <v>bbfede43-b337-4d27-89a3-9f6605160274</v>
      </c>
      <c r="C416" s="7">
        <f>IFERROR(__xludf.DUMMYFUNCTION("""COMPUTED_VALUE"""),45054.0)</f>
        <v>45054</v>
      </c>
      <c r="D416" s="8">
        <f>IFERROR(__xludf.DUMMYFUNCTION("""COMPUTED_VALUE"""),7841415.0)</f>
        <v>7841415</v>
      </c>
      <c r="E416" s="6" t="str">
        <f>IFERROR(__xludf.DUMMYFUNCTION("""COMPUTED_VALUE"""),"MOVIE")</f>
        <v>MOVIE</v>
      </c>
      <c r="F416" s="6" t="str">
        <f>IFERROR(__xludf.DUMMYFUNCTION("""COMPUTED_VALUE"""),"Action")</f>
        <v>Action</v>
      </c>
      <c r="G416" s="6">
        <f>IFERROR(__xludf.DUMMYFUNCTION("""COMPUTED_VALUE"""),57.0)</f>
        <v>57</v>
      </c>
      <c r="H416" s="6">
        <f>IFERROR(__xludf.DUMMYFUNCTION("""COMPUTED_VALUE"""),0.0)</f>
        <v>0</v>
      </c>
      <c r="I416" s="6" t="str">
        <f>IFERROR(__xludf.DUMMYFUNCTION("""COMPUTED_VALUE"""),"Mobile")</f>
        <v>Mobile</v>
      </c>
      <c r="J416" s="6" t="str">
        <f>IFERROR(__xludf.DUMMYFUNCTION("""COMPUTED_VALUE"""),"Germany")</f>
        <v>Germany</v>
      </c>
      <c r="K416" s="6" t="str">
        <f>IFERROR(__xludf.DUMMYFUNCTION("""COMPUTED_VALUE"""),"Standard")</f>
        <v>Standard</v>
      </c>
      <c r="L416" s="6">
        <f>IFERROR(__xludf.DUMMYFUNCTION("""COMPUTED_VALUE"""),0.0)</f>
        <v>0</v>
      </c>
      <c r="M416" s="6" t="str">
        <f>IFERROR(__xludf.DUMMYFUNCTION("""COMPUTED_VALUE"""),"2023-05")</f>
        <v>2023-05</v>
      </c>
    </row>
    <row r="417">
      <c r="A417" s="6" t="str">
        <f>IFERROR(__xludf.DUMMYFUNCTION("""COMPUTED_VALUE"""),"2b70cc1b-484e-4e3b-b895-aaf32bb63944")</f>
        <v>2b70cc1b-484e-4e3b-b895-aaf32bb63944</v>
      </c>
      <c r="B417" s="6" t="str">
        <f>IFERROR(__xludf.DUMMYFUNCTION("""COMPUTED_VALUE"""),"bc1f472f-7a00-49f7-bd07-c97c3647e681")</f>
        <v>bc1f472f-7a00-49f7-bd07-c97c3647e681</v>
      </c>
      <c r="C417" s="7">
        <f>IFERROR(__xludf.DUMMYFUNCTION("""COMPUTED_VALUE"""),45152.0)</f>
        <v>45152</v>
      </c>
      <c r="D417" s="8">
        <f>IFERROR(__xludf.DUMMYFUNCTION("""COMPUTED_VALUE"""),5.7858845E7)</f>
        <v>57858845</v>
      </c>
      <c r="E417" s="6" t="str">
        <f>IFERROR(__xludf.DUMMYFUNCTION("""COMPUTED_VALUE"""),"MOVIE")</f>
        <v>MOVIE</v>
      </c>
      <c r="F417" s="6" t="str">
        <f>IFERROR(__xludf.DUMMYFUNCTION("""COMPUTED_VALUE"""),"Comedy")</f>
        <v>Comedy</v>
      </c>
      <c r="G417" s="6">
        <f>IFERROR(__xludf.DUMMYFUNCTION("""COMPUTED_VALUE"""),74.0)</f>
        <v>74</v>
      </c>
      <c r="H417" s="6">
        <f>IFERROR(__xludf.DUMMYFUNCTION("""COMPUTED_VALUE"""),1.0)</f>
        <v>1</v>
      </c>
      <c r="I417" s="6" t="str">
        <f>IFERROR(__xludf.DUMMYFUNCTION("""COMPUTED_VALUE"""),"Desktop")</f>
        <v>Desktop</v>
      </c>
      <c r="J417" s="6" t="str">
        <f>IFERROR(__xludf.DUMMYFUNCTION("""COMPUTED_VALUE"""),"Germany")</f>
        <v>Germany</v>
      </c>
      <c r="K417" s="6" t="str">
        <f>IFERROR(__xludf.DUMMYFUNCTION("""COMPUTED_VALUE"""),"Basic")</f>
        <v>Basic</v>
      </c>
      <c r="L417" s="6">
        <f>IFERROR(__xludf.DUMMYFUNCTION("""COMPUTED_VALUE"""),0.0)</f>
        <v>0</v>
      </c>
      <c r="M417" s="6" t="str">
        <f>IFERROR(__xludf.DUMMYFUNCTION("""COMPUTED_VALUE"""),"2023-08")</f>
        <v>2023-08</v>
      </c>
    </row>
    <row r="418">
      <c r="A418" s="6" t="str">
        <f>IFERROR(__xludf.DUMMYFUNCTION("""COMPUTED_VALUE"""),"3a831ec4-8d70-4dd8-b9ce-efe7818a3491")</f>
        <v>3a831ec4-8d70-4dd8-b9ce-efe7818a3491</v>
      </c>
      <c r="B418" s="6" t="str">
        <f>IFERROR(__xludf.DUMMYFUNCTION("""COMPUTED_VALUE"""),"bd09d1ce-2cad-49f4-bfd4-5cff276a0556")</f>
        <v>bd09d1ce-2cad-49f4-bfd4-5cff276a0556</v>
      </c>
      <c r="C418" s="7">
        <f>IFERROR(__xludf.DUMMYFUNCTION("""COMPUTED_VALUE"""),45224.0)</f>
        <v>45224</v>
      </c>
      <c r="D418" s="8">
        <f>IFERROR(__xludf.DUMMYFUNCTION("""COMPUTED_VALUE"""),2749556.0)</f>
        <v>2749556</v>
      </c>
      <c r="E418" s="6" t="str">
        <f>IFERROR(__xludf.DUMMYFUNCTION("""COMPUTED_VALUE"""),"SERIES")</f>
        <v>SERIES</v>
      </c>
      <c r="F418" s="6" t="str">
        <f>IFERROR(__xludf.DUMMYFUNCTION("""COMPUTED_VALUE"""),"Comedy")</f>
        <v>Comedy</v>
      </c>
      <c r="G418" s="6">
        <f>IFERROR(__xludf.DUMMYFUNCTION("""COMPUTED_VALUE"""),48.0)</f>
        <v>48</v>
      </c>
      <c r="H418" s="6">
        <f>IFERROR(__xludf.DUMMYFUNCTION("""COMPUTED_VALUE"""),1.0)</f>
        <v>1</v>
      </c>
      <c r="I418" s="6" t="str">
        <f>IFERROR(__xludf.DUMMYFUNCTION("""COMPUTED_VALUE"""),"Tablet")</f>
        <v>Tablet</v>
      </c>
      <c r="J418" s="6" t="str">
        <f>IFERROR(__xludf.DUMMYFUNCTION("""COMPUTED_VALUE"""),"Usa")</f>
        <v>Usa</v>
      </c>
      <c r="K418" s="6" t="str">
        <f>IFERROR(__xludf.DUMMYFUNCTION("""COMPUTED_VALUE"""),"Basic")</f>
        <v>Basic</v>
      </c>
      <c r="L418" s="6">
        <f>IFERROR(__xludf.DUMMYFUNCTION("""COMPUTED_VALUE"""),0.0)</f>
        <v>0</v>
      </c>
      <c r="M418" s="6" t="str">
        <f>IFERROR(__xludf.DUMMYFUNCTION("""COMPUTED_VALUE"""),"2023-10")</f>
        <v>2023-10</v>
      </c>
    </row>
    <row r="419">
      <c r="A419" s="6" t="str">
        <f>IFERROR(__xludf.DUMMYFUNCTION("""COMPUTED_VALUE"""),"9c190ff3-26df-43f3-9713-b6a6c00acfcf")</f>
        <v>9c190ff3-26df-43f3-9713-b6a6c00acfcf</v>
      </c>
      <c r="B419" s="6" t="str">
        <f>IFERROR(__xludf.DUMMYFUNCTION("""COMPUTED_VALUE"""),"bd78c1c1-a7d4-45e1-90c7-2ce855e45fd2")</f>
        <v>bd78c1c1-a7d4-45e1-90c7-2ce855e45fd2</v>
      </c>
      <c r="C419" s="7">
        <f>IFERROR(__xludf.DUMMYFUNCTION("""COMPUTED_VALUE"""),45035.0)</f>
        <v>45035</v>
      </c>
      <c r="D419" s="8">
        <f>IFERROR(__xludf.DUMMYFUNCTION("""COMPUTED_VALUE"""),9.2609235E7)</f>
        <v>92609235</v>
      </c>
      <c r="E419" s="6" t="str">
        <f>IFERROR(__xludf.DUMMYFUNCTION("""COMPUTED_VALUE"""),"SERIES")</f>
        <v>SERIES</v>
      </c>
      <c r="F419" s="6" t="str">
        <f>IFERROR(__xludf.DUMMYFUNCTION("""COMPUTED_VALUE"""),"Action")</f>
        <v>Action</v>
      </c>
      <c r="G419" s="6">
        <f>IFERROR(__xludf.DUMMYFUNCTION("""COMPUTED_VALUE"""),98.0)</f>
        <v>98</v>
      </c>
      <c r="H419" s="6">
        <f>IFERROR(__xludf.DUMMYFUNCTION("""COMPUTED_VALUE"""),1.0)</f>
        <v>1</v>
      </c>
      <c r="I419" s="6" t="str">
        <f>IFERROR(__xludf.DUMMYFUNCTION("""COMPUTED_VALUE"""),"Tablet")</f>
        <v>Tablet</v>
      </c>
      <c r="J419" s="6" t="str">
        <f>IFERROR(__xludf.DUMMYFUNCTION("""COMPUTED_VALUE"""),"Usa")</f>
        <v>Usa</v>
      </c>
      <c r="K419" s="6" t="str">
        <f>IFERROR(__xludf.DUMMYFUNCTION("""COMPUTED_VALUE"""),"Basic")</f>
        <v>Basic</v>
      </c>
      <c r="L419" s="6">
        <f>IFERROR(__xludf.DUMMYFUNCTION("""COMPUTED_VALUE"""),0.0)</f>
        <v>0</v>
      </c>
      <c r="M419" s="6" t="str">
        <f>IFERROR(__xludf.DUMMYFUNCTION("""COMPUTED_VALUE"""),"2023-04")</f>
        <v>2023-04</v>
      </c>
    </row>
    <row r="420">
      <c r="A420" s="6" t="str">
        <f>IFERROR(__xludf.DUMMYFUNCTION("""COMPUTED_VALUE"""),"8c43ba5f-f6fb-44d8-a69f-5a8170a666f3")</f>
        <v>8c43ba5f-f6fb-44d8-a69f-5a8170a666f3</v>
      </c>
      <c r="B420" s="6" t="str">
        <f>IFERROR(__xludf.DUMMYFUNCTION("""COMPUTED_VALUE"""),"bd9e0f57-3091-4c6c-9cac-6fd8cb875bbd")</f>
        <v>bd9e0f57-3091-4c6c-9cac-6fd8cb875bbd</v>
      </c>
      <c r="C420" s="7">
        <f>IFERROR(__xludf.DUMMYFUNCTION("""COMPUTED_VALUE"""),45115.0)</f>
        <v>45115</v>
      </c>
      <c r="D420" s="8">
        <f>IFERROR(__xludf.DUMMYFUNCTION("""COMPUTED_VALUE"""),9.6620397E7)</f>
        <v>96620397</v>
      </c>
      <c r="E420" s="6" t="str">
        <f>IFERROR(__xludf.DUMMYFUNCTION("""COMPUTED_VALUE"""),"SERIES")</f>
        <v>SERIES</v>
      </c>
      <c r="F420" s="6" t="str">
        <f>IFERROR(__xludf.DUMMYFUNCTION("""COMPUTED_VALUE"""),"Drama")</f>
        <v>Drama</v>
      </c>
      <c r="G420" s="6">
        <f>IFERROR(__xludf.DUMMYFUNCTION("""COMPUTED_VALUE"""),47.0)</f>
        <v>47</v>
      </c>
      <c r="H420" s="6">
        <f>IFERROR(__xludf.DUMMYFUNCTION("""COMPUTED_VALUE"""),0.0)</f>
        <v>0</v>
      </c>
      <c r="I420" s="6" t="str">
        <f>IFERROR(__xludf.DUMMYFUNCTION("""COMPUTED_VALUE"""),"Desktop")</f>
        <v>Desktop</v>
      </c>
      <c r="J420" s="6" t="str">
        <f>IFERROR(__xludf.DUMMYFUNCTION("""COMPUTED_VALUE"""),"France")</f>
        <v>France</v>
      </c>
      <c r="K420" s="6" t="str">
        <f>IFERROR(__xludf.DUMMYFUNCTION("""COMPUTED_VALUE"""),"Standard")</f>
        <v>Standard</v>
      </c>
      <c r="L420" s="6">
        <f>IFERROR(__xludf.DUMMYFUNCTION("""COMPUTED_VALUE"""),0.0)</f>
        <v>0</v>
      </c>
      <c r="M420" s="6" t="str">
        <f>IFERROR(__xludf.DUMMYFUNCTION("""COMPUTED_VALUE"""),"2023-07")</f>
        <v>2023-07</v>
      </c>
    </row>
    <row r="421">
      <c r="A421" s="6" t="str">
        <f>IFERROR(__xludf.DUMMYFUNCTION("""COMPUTED_VALUE"""),"64a2264e-b6aa-4141-8097-4b3b00177622")</f>
        <v>64a2264e-b6aa-4141-8097-4b3b00177622</v>
      </c>
      <c r="B421" s="6" t="str">
        <f>IFERROR(__xludf.DUMMYFUNCTION("""COMPUTED_VALUE"""),"bdfaff63-9cde-421b-a64f-e1c25ff6e018")</f>
        <v>bdfaff63-9cde-421b-a64f-e1c25ff6e018</v>
      </c>
      <c r="C421" s="7">
        <f>IFERROR(__xludf.DUMMYFUNCTION("""COMPUTED_VALUE"""),45247.0)</f>
        <v>45247</v>
      </c>
      <c r="D421" s="8">
        <f>IFERROR(__xludf.DUMMYFUNCTION("""COMPUTED_VALUE"""),1.884317E7)</f>
        <v>18843170</v>
      </c>
      <c r="E421" s="6" t="str">
        <f>IFERROR(__xludf.DUMMYFUNCTION("""COMPUTED_VALUE"""),"SERIES")</f>
        <v>SERIES</v>
      </c>
      <c r="F421" s="6" t="str">
        <f>IFERROR(__xludf.DUMMYFUNCTION("""COMPUTED_VALUE"""),"Thriller")</f>
        <v>Thriller</v>
      </c>
      <c r="G421" s="6">
        <f>IFERROR(__xludf.DUMMYFUNCTION("""COMPUTED_VALUE"""),15.0)</f>
        <v>15</v>
      </c>
      <c r="H421" s="6">
        <f>IFERROR(__xludf.DUMMYFUNCTION("""COMPUTED_VALUE"""),1.0)</f>
        <v>1</v>
      </c>
      <c r="I421" s="6" t="str">
        <f>IFERROR(__xludf.DUMMYFUNCTION("""COMPUTED_VALUE"""),"Tablet")</f>
        <v>Tablet</v>
      </c>
      <c r="J421" s="6" t="str">
        <f>IFERROR(__xludf.DUMMYFUNCTION("""COMPUTED_VALUE"""),"France")</f>
        <v>France</v>
      </c>
      <c r="K421" s="6" t="str">
        <f>IFERROR(__xludf.DUMMYFUNCTION("""COMPUTED_VALUE"""),"Standard")</f>
        <v>Standard</v>
      </c>
      <c r="L421" s="6">
        <f>IFERROR(__xludf.DUMMYFUNCTION("""COMPUTED_VALUE"""),0.0)</f>
        <v>0</v>
      </c>
      <c r="M421" s="6" t="str">
        <f>IFERROR(__xludf.DUMMYFUNCTION("""COMPUTED_VALUE"""),"2023-11")</f>
        <v>2023-11</v>
      </c>
    </row>
    <row r="422">
      <c r="A422" s="6" t="str">
        <f>IFERROR(__xludf.DUMMYFUNCTION("""COMPUTED_VALUE"""),"1fb975e2-5219-45c3-ad87-9e848d88d356")</f>
        <v>1fb975e2-5219-45c3-ad87-9e848d88d356</v>
      </c>
      <c r="B422" s="6" t="str">
        <f>IFERROR(__xludf.DUMMYFUNCTION("""COMPUTED_VALUE"""),"bf58c150-71ee-4f38-8948-45fb8a259e2f")</f>
        <v>bf58c150-71ee-4f38-8948-45fb8a259e2f</v>
      </c>
      <c r="C422" s="7">
        <f>IFERROR(__xludf.DUMMYFUNCTION("""COMPUTED_VALUE"""),44956.0)</f>
        <v>44956</v>
      </c>
      <c r="D422" s="8">
        <f>IFERROR(__xludf.DUMMYFUNCTION("""COMPUTED_VALUE"""),8759634.0)</f>
        <v>8759634</v>
      </c>
      <c r="E422" s="6" t="str">
        <f>IFERROR(__xludf.DUMMYFUNCTION("""COMPUTED_VALUE"""),"SERIES")</f>
        <v>SERIES</v>
      </c>
      <c r="F422" s="6" t="str">
        <f>IFERROR(__xludf.DUMMYFUNCTION("""COMPUTED_VALUE"""),"Action")</f>
        <v>Action</v>
      </c>
      <c r="G422" s="6">
        <f>IFERROR(__xludf.DUMMYFUNCTION("""COMPUTED_VALUE"""),72.0)</f>
        <v>72</v>
      </c>
      <c r="H422" s="6">
        <f>IFERROR(__xludf.DUMMYFUNCTION("""COMPUTED_VALUE"""),1.0)</f>
        <v>1</v>
      </c>
      <c r="I422" s="6" t="str">
        <f>IFERROR(__xludf.DUMMYFUNCTION("""COMPUTED_VALUE"""),"Tablet")</f>
        <v>Tablet</v>
      </c>
      <c r="J422" s="6" t="str">
        <f>IFERROR(__xludf.DUMMYFUNCTION("""COMPUTED_VALUE"""),"Germany")</f>
        <v>Germany</v>
      </c>
      <c r="K422" s="6" t="str">
        <f>IFERROR(__xludf.DUMMYFUNCTION("""COMPUTED_VALUE"""),"Standard")</f>
        <v>Standard</v>
      </c>
      <c r="L422" s="6">
        <f>IFERROR(__xludf.DUMMYFUNCTION("""COMPUTED_VALUE"""),0.0)</f>
        <v>0</v>
      </c>
      <c r="M422" s="6" t="str">
        <f>IFERROR(__xludf.DUMMYFUNCTION("""COMPUTED_VALUE"""),"2023-01")</f>
        <v>2023-01</v>
      </c>
    </row>
    <row r="423">
      <c r="A423" s="6" t="str">
        <f>IFERROR(__xludf.DUMMYFUNCTION("""COMPUTED_VALUE"""),"2a883ae1-7ca6-4633-a232-0962c7b46529")</f>
        <v>2a883ae1-7ca6-4633-a232-0962c7b46529</v>
      </c>
      <c r="B423" s="6" t="str">
        <f>IFERROR(__xludf.DUMMYFUNCTION("""COMPUTED_VALUE"""),"bf96dd80-e9a6-44a8-b02e-61568f59848a")</f>
        <v>bf96dd80-e9a6-44a8-b02e-61568f59848a</v>
      </c>
      <c r="C423" s="7">
        <f>IFERROR(__xludf.DUMMYFUNCTION("""COMPUTED_VALUE"""),45225.0)</f>
        <v>45225</v>
      </c>
      <c r="D423" s="8">
        <f>IFERROR(__xludf.DUMMYFUNCTION("""COMPUTED_VALUE"""),6.0123244E7)</f>
        <v>60123244</v>
      </c>
      <c r="E423" s="6" t="str">
        <f>IFERROR(__xludf.DUMMYFUNCTION("""COMPUTED_VALUE"""),"DOCUMENTARY")</f>
        <v>DOCUMENTARY</v>
      </c>
      <c r="F423" s="6" t="str">
        <f>IFERROR(__xludf.DUMMYFUNCTION("""COMPUTED_VALUE"""),"Drama")</f>
        <v>Drama</v>
      </c>
      <c r="G423" s="6">
        <f>IFERROR(__xludf.DUMMYFUNCTION("""COMPUTED_VALUE"""),102.0)</f>
        <v>102</v>
      </c>
      <c r="H423" s="6">
        <f>IFERROR(__xludf.DUMMYFUNCTION("""COMPUTED_VALUE"""),1.0)</f>
        <v>1</v>
      </c>
      <c r="I423" s="6" t="str">
        <f>IFERROR(__xludf.DUMMYFUNCTION("""COMPUTED_VALUE"""),"Smart Tv")</f>
        <v>Smart Tv</v>
      </c>
      <c r="J423" s="6" t="str">
        <f>IFERROR(__xludf.DUMMYFUNCTION("""COMPUTED_VALUE"""),"India")</f>
        <v>India</v>
      </c>
      <c r="K423" s="6" t="str">
        <f>IFERROR(__xludf.DUMMYFUNCTION("""COMPUTED_VALUE"""),"Basic")</f>
        <v>Basic</v>
      </c>
      <c r="L423" s="6">
        <f>IFERROR(__xludf.DUMMYFUNCTION("""COMPUTED_VALUE"""),0.0)</f>
        <v>0</v>
      </c>
      <c r="M423" s="6" t="str">
        <f>IFERROR(__xludf.DUMMYFUNCTION("""COMPUTED_VALUE"""),"2023-10")</f>
        <v>2023-10</v>
      </c>
    </row>
    <row r="424">
      <c r="A424" s="6" t="str">
        <f>IFERROR(__xludf.DUMMYFUNCTION("""COMPUTED_VALUE"""),"a8f67572-e5af-4ba5-9cc2-5e544016bf22")</f>
        <v>a8f67572-e5af-4ba5-9cc2-5e544016bf22</v>
      </c>
      <c r="B424" s="6" t="str">
        <f>IFERROR(__xludf.DUMMYFUNCTION("""COMPUTED_VALUE"""),"bffc85b7-7cdb-4e6c-bca9-ed853c6a6a5a")</f>
        <v>bffc85b7-7cdb-4e6c-bca9-ed853c6a6a5a</v>
      </c>
      <c r="C424" s="7">
        <f>IFERROR(__xludf.DUMMYFUNCTION("""COMPUTED_VALUE"""),45014.0)</f>
        <v>45014</v>
      </c>
      <c r="D424" s="8">
        <f>IFERROR(__xludf.DUMMYFUNCTION("""COMPUTED_VALUE"""),5.5633567E7)</f>
        <v>55633567</v>
      </c>
      <c r="E424" s="6" t="str">
        <f>IFERROR(__xludf.DUMMYFUNCTION("""COMPUTED_VALUE"""),"DOCUMENTARY")</f>
        <v>DOCUMENTARY</v>
      </c>
      <c r="F424" s="6" t="str">
        <f>IFERROR(__xludf.DUMMYFUNCTION("""COMPUTED_VALUE"""),"Action")</f>
        <v>Action</v>
      </c>
      <c r="G424" s="6">
        <f>IFERROR(__xludf.DUMMYFUNCTION("""COMPUTED_VALUE"""),43.0)</f>
        <v>43</v>
      </c>
      <c r="H424" s="6">
        <f>IFERROR(__xludf.DUMMYFUNCTION("""COMPUTED_VALUE"""),1.0)</f>
        <v>1</v>
      </c>
      <c r="I424" s="6" t="str">
        <f>IFERROR(__xludf.DUMMYFUNCTION("""COMPUTED_VALUE"""),"Tablet")</f>
        <v>Tablet</v>
      </c>
      <c r="J424" s="6" t="str">
        <f>IFERROR(__xludf.DUMMYFUNCTION("""COMPUTED_VALUE"""),"France")</f>
        <v>France</v>
      </c>
      <c r="K424" s="6" t="str">
        <f>IFERROR(__xludf.DUMMYFUNCTION("""COMPUTED_VALUE"""),"Premium")</f>
        <v>Premium</v>
      </c>
      <c r="L424" s="6">
        <f>IFERROR(__xludf.DUMMYFUNCTION("""COMPUTED_VALUE"""),0.0)</f>
        <v>0</v>
      </c>
      <c r="M424" s="6" t="str">
        <f>IFERROR(__xludf.DUMMYFUNCTION("""COMPUTED_VALUE"""),"2023-03")</f>
        <v>2023-03</v>
      </c>
    </row>
    <row r="425">
      <c r="A425" s="6" t="str">
        <f>IFERROR(__xludf.DUMMYFUNCTION("""COMPUTED_VALUE"""),"daac3c58-e266-44c0-9848-d32e65f628ac")</f>
        <v>daac3c58-e266-44c0-9848-d32e65f628ac</v>
      </c>
      <c r="B425" s="6" t="str">
        <f>IFERROR(__xludf.DUMMYFUNCTION("""COMPUTED_VALUE"""),"c06162c6-e851-4c2f-8b01-ca702018ffc8")</f>
        <v>c06162c6-e851-4c2f-8b01-ca702018ffc8</v>
      </c>
      <c r="C425" s="7">
        <f>IFERROR(__xludf.DUMMYFUNCTION("""COMPUTED_VALUE"""),44936.0)</f>
        <v>44936</v>
      </c>
      <c r="D425" s="8">
        <f>IFERROR(__xludf.DUMMYFUNCTION("""COMPUTED_VALUE"""),9.8027088E7)</f>
        <v>98027088</v>
      </c>
      <c r="E425" s="6" t="str">
        <f>IFERROR(__xludf.DUMMYFUNCTION("""COMPUTED_VALUE"""),"SERIES")</f>
        <v>SERIES</v>
      </c>
      <c r="F425" s="6" t="str">
        <f>IFERROR(__xludf.DUMMYFUNCTION("""COMPUTED_VALUE"""),"Comedy")</f>
        <v>Comedy</v>
      </c>
      <c r="G425" s="6">
        <f>IFERROR(__xludf.DUMMYFUNCTION("""COMPUTED_VALUE"""),67.0)</f>
        <v>67</v>
      </c>
      <c r="H425" s="6">
        <f>IFERROR(__xludf.DUMMYFUNCTION("""COMPUTED_VALUE"""),1.0)</f>
        <v>1</v>
      </c>
      <c r="I425" s="6" t="str">
        <f>IFERROR(__xludf.DUMMYFUNCTION("""COMPUTED_VALUE"""),"Mobile")</f>
        <v>Mobile</v>
      </c>
      <c r="J425" s="6" t="str">
        <f>IFERROR(__xludf.DUMMYFUNCTION("""COMPUTED_VALUE"""),"Usa")</f>
        <v>Usa</v>
      </c>
      <c r="K425" s="6" t="str">
        <f>IFERROR(__xludf.DUMMYFUNCTION("""COMPUTED_VALUE"""),"Standard")</f>
        <v>Standard</v>
      </c>
      <c r="L425" s="6">
        <f>IFERROR(__xludf.DUMMYFUNCTION("""COMPUTED_VALUE"""),0.0)</f>
        <v>0</v>
      </c>
      <c r="M425" s="6" t="str">
        <f>IFERROR(__xludf.DUMMYFUNCTION("""COMPUTED_VALUE"""),"2023-01")</f>
        <v>2023-01</v>
      </c>
    </row>
    <row r="426">
      <c r="A426" s="6" t="str">
        <f>IFERROR(__xludf.DUMMYFUNCTION("""COMPUTED_VALUE"""),"716077f5-d07a-4e7f-9b90-9128fd167e4b")</f>
        <v>716077f5-d07a-4e7f-9b90-9128fd167e4b</v>
      </c>
      <c r="B426" s="6" t="str">
        <f>IFERROR(__xludf.DUMMYFUNCTION("""COMPUTED_VALUE"""),"c084fb5f-3eb2-45ef-8799-35f612dab1f0")</f>
        <v>c084fb5f-3eb2-45ef-8799-35f612dab1f0</v>
      </c>
      <c r="C426" s="7">
        <f>IFERROR(__xludf.DUMMYFUNCTION("""COMPUTED_VALUE"""),45146.0)</f>
        <v>45146</v>
      </c>
      <c r="D426" s="8">
        <f>IFERROR(__xludf.DUMMYFUNCTION("""COMPUTED_VALUE"""),8.3696909E7)</f>
        <v>83696909</v>
      </c>
      <c r="E426" s="6" t="str">
        <f>IFERROR(__xludf.DUMMYFUNCTION("""COMPUTED_VALUE"""),"SERIES")</f>
        <v>SERIES</v>
      </c>
      <c r="F426" s="6" t="str">
        <f>IFERROR(__xludf.DUMMYFUNCTION("""COMPUTED_VALUE"""),"Sci-Fi")</f>
        <v>Sci-Fi</v>
      </c>
      <c r="G426" s="6">
        <f>IFERROR(__xludf.DUMMYFUNCTION("""COMPUTED_VALUE"""),79.0)</f>
        <v>79</v>
      </c>
      <c r="H426" s="6">
        <f>IFERROR(__xludf.DUMMYFUNCTION("""COMPUTED_VALUE"""),1.0)</f>
        <v>1</v>
      </c>
      <c r="I426" s="6" t="str">
        <f>IFERROR(__xludf.DUMMYFUNCTION("""COMPUTED_VALUE"""),"Desktop")</f>
        <v>Desktop</v>
      </c>
      <c r="J426" s="6" t="str">
        <f>IFERROR(__xludf.DUMMYFUNCTION("""COMPUTED_VALUE"""),"Usa")</f>
        <v>Usa</v>
      </c>
      <c r="K426" s="6" t="str">
        <f>IFERROR(__xludf.DUMMYFUNCTION("""COMPUTED_VALUE"""),"Premium")</f>
        <v>Premium</v>
      </c>
      <c r="L426" s="6">
        <f>IFERROR(__xludf.DUMMYFUNCTION("""COMPUTED_VALUE"""),0.0)</f>
        <v>0</v>
      </c>
      <c r="M426" s="6" t="str">
        <f>IFERROR(__xludf.DUMMYFUNCTION("""COMPUTED_VALUE"""),"2023-08")</f>
        <v>2023-08</v>
      </c>
    </row>
    <row r="427">
      <c r="A427" s="6" t="str">
        <f>IFERROR(__xludf.DUMMYFUNCTION("""COMPUTED_VALUE"""),"1089f14a-bda9-4d3e-9255-3233e0a50e9e")</f>
        <v>1089f14a-bda9-4d3e-9255-3233e0a50e9e</v>
      </c>
      <c r="B427" s="6" t="str">
        <f>IFERROR(__xludf.DUMMYFUNCTION("""COMPUTED_VALUE"""),"c09bdd2b-f4a2-4e96-9dd6-2ff8353b6585")</f>
        <v>c09bdd2b-f4a2-4e96-9dd6-2ff8353b6585</v>
      </c>
      <c r="C427" s="7">
        <f>IFERROR(__xludf.DUMMYFUNCTION("""COMPUTED_VALUE"""),44995.0)</f>
        <v>44995</v>
      </c>
      <c r="D427" s="8">
        <f>IFERROR(__xludf.DUMMYFUNCTION("""COMPUTED_VALUE"""),6.2303118E7)</f>
        <v>62303118</v>
      </c>
      <c r="E427" s="6" t="str">
        <f>IFERROR(__xludf.DUMMYFUNCTION("""COMPUTED_VALUE"""),"SERIES")</f>
        <v>SERIES</v>
      </c>
      <c r="F427" s="6" t="str">
        <f>IFERROR(__xludf.DUMMYFUNCTION("""COMPUTED_VALUE"""),"Sci-Fi")</f>
        <v>Sci-Fi</v>
      </c>
      <c r="G427" s="6">
        <f>IFERROR(__xludf.DUMMYFUNCTION("""COMPUTED_VALUE"""),30.0)</f>
        <v>30</v>
      </c>
      <c r="H427" s="6">
        <f>IFERROR(__xludf.DUMMYFUNCTION("""COMPUTED_VALUE"""),1.0)</f>
        <v>1</v>
      </c>
      <c r="I427" s="6" t="str">
        <f>IFERROR(__xludf.DUMMYFUNCTION("""COMPUTED_VALUE"""),"Desktop")</f>
        <v>Desktop</v>
      </c>
      <c r="J427" s="6" t="str">
        <f>IFERROR(__xludf.DUMMYFUNCTION("""COMPUTED_VALUE"""),"Uk")</f>
        <v>Uk</v>
      </c>
      <c r="K427" s="6" t="str">
        <f>IFERROR(__xludf.DUMMYFUNCTION("""COMPUTED_VALUE"""),"Standard")</f>
        <v>Standard</v>
      </c>
      <c r="L427" s="6">
        <f>IFERROR(__xludf.DUMMYFUNCTION("""COMPUTED_VALUE"""),0.0)</f>
        <v>0</v>
      </c>
      <c r="M427" s="6" t="str">
        <f>IFERROR(__xludf.DUMMYFUNCTION("""COMPUTED_VALUE"""),"2023-03")</f>
        <v>2023-03</v>
      </c>
    </row>
    <row r="428">
      <c r="A428" s="6" t="str">
        <f>IFERROR(__xludf.DUMMYFUNCTION("""COMPUTED_VALUE"""),"411d9ac8-948f-423c-b9db-ede7dc93ee55")</f>
        <v>411d9ac8-948f-423c-b9db-ede7dc93ee55</v>
      </c>
      <c r="B428" s="6" t="str">
        <f>IFERROR(__xludf.DUMMYFUNCTION("""COMPUTED_VALUE"""),"c2164719-8cc7-416f-a132-7810206a8fd3")</f>
        <v>c2164719-8cc7-416f-a132-7810206a8fd3</v>
      </c>
      <c r="C428" s="7">
        <f>IFERROR(__xludf.DUMMYFUNCTION("""COMPUTED_VALUE"""),45254.0)</f>
        <v>45254</v>
      </c>
      <c r="D428" s="8">
        <f>IFERROR(__xludf.DUMMYFUNCTION("""COMPUTED_VALUE"""),5.7184845E7)</f>
        <v>57184845</v>
      </c>
      <c r="E428" s="6" t="str">
        <f>IFERROR(__xludf.DUMMYFUNCTION("""COMPUTED_VALUE"""),"DOCUMENTARY")</f>
        <v>DOCUMENTARY</v>
      </c>
      <c r="F428" s="6" t="str">
        <f>IFERROR(__xludf.DUMMYFUNCTION("""COMPUTED_VALUE"""),"Thriller")</f>
        <v>Thriller</v>
      </c>
      <c r="G428" s="6">
        <f>IFERROR(__xludf.DUMMYFUNCTION("""COMPUTED_VALUE"""),140.0)</f>
        <v>140</v>
      </c>
      <c r="H428" s="6">
        <f>IFERROR(__xludf.DUMMYFUNCTION("""COMPUTED_VALUE"""),0.0)</f>
        <v>0</v>
      </c>
      <c r="I428" s="6" t="str">
        <f>IFERROR(__xludf.DUMMYFUNCTION("""COMPUTED_VALUE"""),"Tablet")</f>
        <v>Tablet</v>
      </c>
      <c r="J428" s="6" t="str">
        <f>IFERROR(__xludf.DUMMYFUNCTION("""COMPUTED_VALUE"""),"India")</f>
        <v>India</v>
      </c>
      <c r="K428" s="6" t="str">
        <f>IFERROR(__xludf.DUMMYFUNCTION("""COMPUTED_VALUE"""),"Basic")</f>
        <v>Basic</v>
      </c>
      <c r="L428" s="6">
        <f>IFERROR(__xludf.DUMMYFUNCTION("""COMPUTED_VALUE"""),0.0)</f>
        <v>0</v>
      </c>
      <c r="M428" s="6" t="str">
        <f>IFERROR(__xludf.DUMMYFUNCTION("""COMPUTED_VALUE"""),"2023-11")</f>
        <v>2023-11</v>
      </c>
    </row>
    <row r="429">
      <c r="A429" s="6" t="str">
        <f>IFERROR(__xludf.DUMMYFUNCTION("""COMPUTED_VALUE"""),"9555b6d5-7954-4a17-b88a-4e7b4fa51a73")</f>
        <v>9555b6d5-7954-4a17-b88a-4e7b4fa51a73</v>
      </c>
      <c r="B429" s="6" t="str">
        <f>IFERROR(__xludf.DUMMYFUNCTION("""COMPUTED_VALUE"""),"c2531041-4f6d-40bb-af22-5921e02c7190")</f>
        <v>c2531041-4f6d-40bb-af22-5921e02c7190</v>
      </c>
      <c r="C429" s="7">
        <f>IFERROR(__xludf.DUMMYFUNCTION("""COMPUTED_VALUE"""),45135.0)</f>
        <v>45135</v>
      </c>
      <c r="D429" s="8">
        <f>IFERROR(__xludf.DUMMYFUNCTION("""COMPUTED_VALUE"""),6.1661035E7)</f>
        <v>61661035</v>
      </c>
      <c r="E429" s="6" t="str">
        <f>IFERROR(__xludf.DUMMYFUNCTION("""COMPUTED_VALUE"""),"SERIES")</f>
        <v>SERIES</v>
      </c>
      <c r="F429" s="6" t="str">
        <f>IFERROR(__xludf.DUMMYFUNCTION("""COMPUTED_VALUE"""),"Thriller")</f>
        <v>Thriller</v>
      </c>
      <c r="G429" s="6">
        <f>IFERROR(__xludf.DUMMYFUNCTION("""COMPUTED_VALUE"""),140.0)</f>
        <v>140</v>
      </c>
      <c r="H429" s="6">
        <f>IFERROR(__xludf.DUMMYFUNCTION("""COMPUTED_VALUE"""),1.0)</f>
        <v>1</v>
      </c>
      <c r="I429" s="6" t="str">
        <f>IFERROR(__xludf.DUMMYFUNCTION("""COMPUTED_VALUE"""),"Smart Tv")</f>
        <v>Smart Tv</v>
      </c>
      <c r="J429" s="6" t="str">
        <f>IFERROR(__xludf.DUMMYFUNCTION("""COMPUTED_VALUE"""),"Usa")</f>
        <v>Usa</v>
      </c>
      <c r="K429" s="6" t="str">
        <f>IFERROR(__xludf.DUMMYFUNCTION("""COMPUTED_VALUE"""),"Standard")</f>
        <v>Standard</v>
      </c>
      <c r="L429" s="6">
        <f>IFERROR(__xludf.DUMMYFUNCTION("""COMPUTED_VALUE"""),0.0)</f>
        <v>0</v>
      </c>
      <c r="M429" s="6" t="str">
        <f>IFERROR(__xludf.DUMMYFUNCTION("""COMPUTED_VALUE"""),"2023-07")</f>
        <v>2023-07</v>
      </c>
    </row>
    <row r="430">
      <c r="A430" s="6" t="str">
        <f>IFERROR(__xludf.DUMMYFUNCTION("""COMPUTED_VALUE"""),"3c4fd2fa-3dab-4e30-a9cc-50b98ce8be89")</f>
        <v>3c4fd2fa-3dab-4e30-a9cc-50b98ce8be89</v>
      </c>
      <c r="B430" s="6" t="str">
        <f>IFERROR(__xludf.DUMMYFUNCTION("""COMPUTED_VALUE"""),"c271a2b9-9e20-4b1c-b45b-e63c19af6eab")</f>
        <v>c271a2b9-9e20-4b1c-b45b-e63c19af6eab</v>
      </c>
      <c r="C430" s="7">
        <f>IFERROR(__xludf.DUMMYFUNCTION("""COMPUTED_VALUE"""),45159.0)</f>
        <v>45159</v>
      </c>
      <c r="D430" s="8">
        <f>IFERROR(__xludf.DUMMYFUNCTION("""COMPUTED_VALUE"""),8.2592042E7)</f>
        <v>82592042</v>
      </c>
      <c r="E430" s="6" t="str">
        <f>IFERROR(__xludf.DUMMYFUNCTION("""COMPUTED_VALUE"""),"SERIES")</f>
        <v>SERIES</v>
      </c>
      <c r="F430" s="6" t="str">
        <f>IFERROR(__xludf.DUMMYFUNCTION("""COMPUTED_VALUE"""),"Action")</f>
        <v>Action</v>
      </c>
      <c r="G430" s="6">
        <f>IFERROR(__xludf.DUMMYFUNCTION("""COMPUTED_VALUE"""),163.0)</f>
        <v>163</v>
      </c>
      <c r="H430" s="6">
        <f>IFERROR(__xludf.DUMMYFUNCTION("""COMPUTED_VALUE"""),1.0)</f>
        <v>1</v>
      </c>
      <c r="I430" s="6" t="str">
        <f>IFERROR(__xludf.DUMMYFUNCTION("""COMPUTED_VALUE"""),"Desktop")</f>
        <v>Desktop</v>
      </c>
      <c r="J430" s="6" t="str">
        <f>IFERROR(__xludf.DUMMYFUNCTION("""COMPUTED_VALUE"""),"France")</f>
        <v>France</v>
      </c>
      <c r="K430" s="6" t="str">
        <f>IFERROR(__xludf.DUMMYFUNCTION("""COMPUTED_VALUE"""),"Basic")</f>
        <v>Basic</v>
      </c>
      <c r="L430" s="6">
        <f>IFERROR(__xludf.DUMMYFUNCTION("""COMPUTED_VALUE"""),0.0)</f>
        <v>0</v>
      </c>
      <c r="M430" s="6" t="str">
        <f>IFERROR(__xludf.DUMMYFUNCTION("""COMPUTED_VALUE"""),"2023-08")</f>
        <v>2023-08</v>
      </c>
    </row>
    <row r="431">
      <c r="A431" s="6" t="str">
        <f>IFERROR(__xludf.DUMMYFUNCTION("""COMPUTED_VALUE"""),"0bc1fe7d-4ae0-4cd8-8ef2-f52730c4b834")</f>
        <v>0bc1fe7d-4ae0-4cd8-8ef2-f52730c4b834</v>
      </c>
      <c r="B431" s="6" t="str">
        <f>IFERROR(__xludf.DUMMYFUNCTION("""COMPUTED_VALUE"""),"c3190c5a-ebec-47bf-959e-befd7e8edc5e")</f>
        <v>c3190c5a-ebec-47bf-959e-befd7e8edc5e</v>
      </c>
      <c r="C431" s="7">
        <f>IFERROR(__xludf.DUMMYFUNCTION("""COMPUTED_VALUE"""),45094.0)</f>
        <v>45094</v>
      </c>
      <c r="D431" s="8">
        <f>IFERROR(__xludf.DUMMYFUNCTION("""COMPUTED_VALUE"""),3.0717411E7)</f>
        <v>30717411</v>
      </c>
      <c r="E431" s="6" t="str">
        <f>IFERROR(__xludf.DUMMYFUNCTION("""COMPUTED_VALUE"""),"SERIES")</f>
        <v>SERIES</v>
      </c>
      <c r="F431" s="6" t="str">
        <f>IFERROR(__xludf.DUMMYFUNCTION("""COMPUTED_VALUE"""),"Thriller")</f>
        <v>Thriller</v>
      </c>
      <c r="G431" s="6">
        <f>IFERROR(__xludf.DUMMYFUNCTION("""COMPUTED_VALUE"""),100.0)</f>
        <v>100</v>
      </c>
      <c r="H431" s="6">
        <f>IFERROR(__xludf.DUMMYFUNCTION("""COMPUTED_VALUE"""),0.0)</f>
        <v>0</v>
      </c>
      <c r="I431" s="6" t="str">
        <f>IFERROR(__xludf.DUMMYFUNCTION("""COMPUTED_VALUE"""),"Tablet")</f>
        <v>Tablet</v>
      </c>
      <c r="J431" s="6" t="str">
        <f>IFERROR(__xludf.DUMMYFUNCTION("""COMPUTED_VALUE"""),"India")</f>
        <v>India</v>
      </c>
      <c r="K431" s="6" t="str">
        <f>IFERROR(__xludf.DUMMYFUNCTION("""COMPUTED_VALUE"""),"Premium")</f>
        <v>Premium</v>
      </c>
      <c r="L431" s="6">
        <f>IFERROR(__xludf.DUMMYFUNCTION("""COMPUTED_VALUE"""),0.0)</f>
        <v>0</v>
      </c>
      <c r="M431" s="6" t="str">
        <f>IFERROR(__xludf.DUMMYFUNCTION("""COMPUTED_VALUE"""),"2023-06")</f>
        <v>2023-06</v>
      </c>
    </row>
    <row r="432">
      <c r="A432" s="6" t="str">
        <f>IFERROR(__xludf.DUMMYFUNCTION("""COMPUTED_VALUE"""),"902342f6-055e-42db-b7e0-7c66a91fbb48")</f>
        <v>902342f6-055e-42db-b7e0-7c66a91fbb48</v>
      </c>
      <c r="B432" s="6" t="str">
        <f>IFERROR(__xludf.DUMMYFUNCTION("""COMPUTED_VALUE"""),"c394d576-a075-4402-beff-297d986fad7e")</f>
        <v>c394d576-a075-4402-beff-297d986fad7e</v>
      </c>
      <c r="C432" s="7">
        <f>IFERROR(__xludf.DUMMYFUNCTION("""COMPUTED_VALUE"""),45008.0)</f>
        <v>45008</v>
      </c>
      <c r="D432" s="8">
        <f>IFERROR(__xludf.DUMMYFUNCTION("""COMPUTED_VALUE"""),6601683.0)</f>
        <v>6601683</v>
      </c>
      <c r="E432" s="6" t="str">
        <f>IFERROR(__xludf.DUMMYFUNCTION("""COMPUTED_VALUE"""),"DOCUMENTARY")</f>
        <v>DOCUMENTARY</v>
      </c>
      <c r="F432" s="6" t="str">
        <f>IFERROR(__xludf.DUMMYFUNCTION("""COMPUTED_VALUE"""),"Thriller")</f>
        <v>Thriller</v>
      </c>
      <c r="G432" s="6">
        <f>IFERROR(__xludf.DUMMYFUNCTION("""COMPUTED_VALUE"""),23.0)</f>
        <v>23</v>
      </c>
      <c r="H432" s="6">
        <f>IFERROR(__xludf.DUMMYFUNCTION("""COMPUTED_VALUE"""),1.0)</f>
        <v>1</v>
      </c>
      <c r="I432" s="6" t="str">
        <f>IFERROR(__xludf.DUMMYFUNCTION("""COMPUTED_VALUE"""),"Smart Tv")</f>
        <v>Smart Tv</v>
      </c>
      <c r="J432" s="6" t="str">
        <f>IFERROR(__xludf.DUMMYFUNCTION("""COMPUTED_VALUE"""),"France")</f>
        <v>France</v>
      </c>
      <c r="K432" s="6" t="str">
        <f>IFERROR(__xludf.DUMMYFUNCTION("""COMPUTED_VALUE"""),"Basic")</f>
        <v>Basic</v>
      </c>
      <c r="L432" s="6">
        <f>IFERROR(__xludf.DUMMYFUNCTION("""COMPUTED_VALUE"""),0.0)</f>
        <v>0</v>
      </c>
      <c r="M432" s="6" t="str">
        <f>IFERROR(__xludf.DUMMYFUNCTION("""COMPUTED_VALUE"""),"2023-03")</f>
        <v>2023-03</v>
      </c>
    </row>
    <row r="433">
      <c r="A433" s="6" t="str">
        <f>IFERROR(__xludf.DUMMYFUNCTION("""COMPUTED_VALUE"""),"5225c7bb-c8dd-41fa-a258-dedb63901ff6")</f>
        <v>5225c7bb-c8dd-41fa-a258-dedb63901ff6</v>
      </c>
      <c r="B433" s="6" t="str">
        <f>IFERROR(__xludf.DUMMYFUNCTION("""COMPUTED_VALUE"""),"c3a24520-0489-45f6-9a98-d8ed08292d09")</f>
        <v>c3a24520-0489-45f6-9a98-d8ed08292d09</v>
      </c>
      <c r="C433" s="7">
        <f>IFERROR(__xludf.DUMMYFUNCTION("""COMPUTED_VALUE"""),44943.0)</f>
        <v>44943</v>
      </c>
      <c r="D433" s="8">
        <f>IFERROR(__xludf.DUMMYFUNCTION("""COMPUTED_VALUE"""),3.6258017E7)</f>
        <v>36258017</v>
      </c>
      <c r="E433" s="6" t="str">
        <f>IFERROR(__xludf.DUMMYFUNCTION("""COMPUTED_VALUE"""),"MOVIE")</f>
        <v>MOVIE</v>
      </c>
      <c r="F433" s="6" t="str">
        <f>IFERROR(__xludf.DUMMYFUNCTION("""COMPUTED_VALUE"""),"Drama")</f>
        <v>Drama</v>
      </c>
      <c r="G433" s="6">
        <f>IFERROR(__xludf.DUMMYFUNCTION("""COMPUTED_VALUE"""),124.0)</f>
        <v>124</v>
      </c>
      <c r="H433" s="6">
        <f>IFERROR(__xludf.DUMMYFUNCTION("""COMPUTED_VALUE"""),0.0)</f>
        <v>0</v>
      </c>
      <c r="I433" s="6" t="str">
        <f>IFERROR(__xludf.DUMMYFUNCTION("""COMPUTED_VALUE"""),"Desktop")</f>
        <v>Desktop</v>
      </c>
      <c r="J433" s="6" t="str">
        <f>IFERROR(__xludf.DUMMYFUNCTION("""COMPUTED_VALUE"""),"India")</f>
        <v>India</v>
      </c>
      <c r="K433" s="6" t="str">
        <f>IFERROR(__xludf.DUMMYFUNCTION("""COMPUTED_VALUE"""),"Standard")</f>
        <v>Standard</v>
      </c>
      <c r="L433" s="6">
        <f>IFERROR(__xludf.DUMMYFUNCTION("""COMPUTED_VALUE"""),0.0)</f>
        <v>0</v>
      </c>
      <c r="M433" s="6" t="str">
        <f>IFERROR(__xludf.DUMMYFUNCTION("""COMPUTED_VALUE"""),"2023-01")</f>
        <v>2023-01</v>
      </c>
    </row>
    <row r="434">
      <c r="A434" s="6" t="str">
        <f>IFERROR(__xludf.DUMMYFUNCTION("""COMPUTED_VALUE"""),"cdeb699f-a6fe-42af-a1e1-5d8ab2da3dc4")</f>
        <v>cdeb699f-a6fe-42af-a1e1-5d8ab2da3dc4</v>
      </c>
      <c r="B434" s="6" t="str">
        <f>IFERROR(__xludf.DUMMYFUNCTION("""COMPUTED_VALUE"""),"c3c28613-18a1-4fcf-ab55-c7313c8298d1")</f>
        <v>c3c28613-18a1-4fcf-ab55-c7313c8298d1</v>
      </c>
      <c r="C434" s="7">
        <f>IFERROR(__xludf.DUMMYFUNCTION("""COMPUTED_VALUE"""),45019.0)</f>
        <v>45019</v>
      </c>
      <c r="D434" s="8">
        <f>IFERROR(__xludf.DUMMYFUNCTION("""COMPUTED_VALUE"""),7.7819192E7)</f>
        <v>77819192</v>
      </c>
      <c r="E434" s="6" t="str">
        <f>IFERROR(__xludf.DUMMYFUNCTION("""COMPUTED_VALUE"""),"DOCUMENTARY")</f>
        <v>DOCUMENTARY</v>
      </c>
      <c r="F434" s="6" t="str">
        <f>IFERROR(__xludf.DUMMYFUNCTION("""COMPUTED_VALUE"""),"Drama")</f>
        <v>Drama</v>
      </c>
      <c r="G434" s="6">
        <f>IFERROR(__xludf.DUMMYFUNCTION("""COMPUTED_VALUE"""),10.0)</f>
        <v>10</v>
      </c>
      <c r="H434" s="6">
        <f>IFERROR(__xludf.DUMMYFUNCTION("""COMPUTED_VALUE"""),0.0)</f>
        <v>0</v>
      </c>
      <c r="I434" s="6" t="str">
        <f>IFERROR(__xludf.DUMMYFUNCTION("""COMPUTED_VALUE"""),"Tablet")</f>
        <v>Tablet</v>
      </c>
      <c r="J434" s="6" t="str">
        <f>IFERROR(__xludf.DUMMYFUNCTION("""COMPUTED_VALUE"""),"Uk")</f>
        <v>Uk</v>
      </c>
      <c r="K434" s="6" t="str">
        <f>IFERROR(__xludf.DUMMYFUNCTION("""COMPUTED_VALUE"""),"Premium")</f>
        <v>Premium</v>
      </c>
      <c r="L434" s="6">
        <f>IFERROR(__xludf.DUMMYFUNCTION("""COMPUTED_VALUE"""),0.0)</f>
        <v>0</v>
      </c>
      <c r="M434" s="6" t="str">
        <f>IFERROR(__xludf.DUMMYFUNCTION("""COMPUTED_VALUE"""),"2023-04")</f>
        <v>2023-04</v>
      </c>
    </row>
    <row r="435">
      <c r="A435" s="6" t="str">
        <f>IFERROR(__xludf.DUMMYFUNCTION("""COMPUTED_VALUE"""),"f2a5b075-b4fe-4b14-b2b4-f0cc2636c72f")</f>
        <v>f2a5b075-b4fe-4b14-b2b4-f0cc2636c72f</v>
      </c>
      <c r="B435" s="6" t="str">
        <f>IFERROR(__xludf.DUMMYFUNCTION("""COMPUTED_VALUE"""),"c3d3c930-0c5e-4036-be4c-8b268fb624c0")</f>
        <v>c3d3c930-0c5e-4036-be4c-8b268fb624c0</v>
      </c>
      <c r="C435" s="7">
        <f>IFERROR(__xludf.DUMMYFUNCTION("""COMPUTED_VALUE"""),45004.0)</f>
        <v>45004</v>
      </c>
      <c r="D435" s="8">
        <f>IFERROR(__xludf.DUMMYFUNCTION("""COMPUTED_VALUE"""),7.6704888E7)</f>
        <v>76704888</v>
      </c>
      <c r="E435" s="6" t="str">
        <f>IFERROR(__xludf.DUMMYFUNCTION("""COMPUTED_VALUE"""),"MOVIE")</f>
        <v>MOVIE</v>
      </c>
      <c r="F435" s="6" t="str">
        <f>IFERROR(__xludf.DUMMYFUNCTION("""COMPUTED_VALUE"""),"Action")</f>
        <v>Action</v>
      </c>
      <c r="G435" s="6">
        <f>IFERROR(__xludf.DUMMYFUNCTION("""COMPUTED_VALUE"""),57.0)</f>
        <v>57</v>
      </c>
      <c r="H435" s="6">
        <f>IFERROR(__xludf.DUMMYFUNCTION("""COMPUTED_VALUE"""),1.0)</f>
        <v>1</v>
      </c>
      <c r="I435" s="6" t="str">
        <f>IFERROR(__xludf.DUMMYFUNCTION("""COMPUTED_VALUE"""),"Mobile")</f>
        <v>Mobile</v>
      </c>
      <c r="J435" s="6" t="str">
        <f>IFERROR(__xludf.DUMMYFUNCTION("""COMPUTED_VALUE"""),"Germany")</f>
        <v>Germany</v>
      </c>
      <c r="K435" s="6" t="str">
        <f>IFERROR(__xludf.DUMMYFUNCTION("""COMPUTED_VALUE"""),"Basic")</f>
        <v>Basic</v>
      </c>
      <c r="L435" s="6">
        <f>IFERROR(__xludf.DUMMYFUNCTION("""COMPUTED_VALUE"""),0.0)</f>
        <v>0</v>
      </c>
      <c r="M435" s="6" t="str">
        <f>IFERROR(__xludf.DUMMYFUNCTION("""COMPUTED_VALUE"""),"2023-03")</f>
        <v>2023-03</v>
      </c>
    </row>
    <row r="436">
      <c r="A436" s="6" t="str">
        <f>IFERROR(__xludf.DUMMYFUNCTION("""COMPUTED_VALUE"""),"8ec10d46-b2ff-4c4f-b86b-a07bb54fe223")</f>
        <v>8ec10d46-b2ff-4c4f-b86b-a07bb54fe223</v>
      </c>
      <c r="B436" s="6" t="str">
        <f>IFERROR(__xludf.DUMMYFUNCTION("""COMPUTED_VALUE"""),"c491075c-caca-4683-b629-52ef1cbedf5b")</f>
        <v>c491075c-caca-4683-b629-52ef1cbedf5b</v>
      </c>
      <c r="C436" s="7">
        <f>IFERROR(__xludf.DUMMYFUNCTION("""COMPUTED_VALUE"""),45084.0)</f>
        <v>45084</v>
      </c>
      <c r="D436" s="8">
        <f>IFERROR(__xludf.DUMMYFUNCTION("""COMPUTED_VALUE"""),5.3902634E7)</f>
        <v>53902634</v>
      </c>
      <c r="E436" s="6" t="str">
        <f>IFERROR(__xludf.DUMMYFUNCTION("""COMPUTED_VALUE"""),"MOVIE")</f>
        <v>MOVIE</v>
      </c>
      <c r="F436" s="6" t="str">
        <f>IFERROR(__xludf.DUMMYFUNCTION("""COMPUTED_VALUE"""),"Thriller")</f>
        <v>Thriller</v>
      </c>
      <c r="G436" s="6">
        <f>IFERROR(__xludf.DUMMYFUNCTION("""COMPUTED_VALUE"""),45.0)</f>
        <v>45</v>
      </c>
      <c r="H436" s="6">
        <f>IFERROR(__xludf.DUMMYFUNCTION("""COMPUTED_VALUE"""),1.0)</f>
        <v>1</v>
      </c>
      <c r="I436" s="6" t="str">
        <f>IFERROR(__xludf.DUMMYFUNCTION("""COMPUTED_VALUE"""),"Mobile")</f>
        <v>Mobile</v>
      </c>
      <c r="J436" s="6" t="str">
        <f>IFERROR(__xludf.DUMMYFUNCTION("""COMPUTED_VALUE"""),"Usa")</f>
        <v>Usa</v>
      </c>
      <c r="K436" s="6" t="str">
        <f>IFERROR(__xludf.DUMMYFUNCTION("""COMPUTED_VALUE"""),"Standard")</f>
        <v>Standard</v>
      </c>
      <c r="L436" s="6">
        <f>IFERROR(__xludf.DUMMYFUNCTION("""COMPUTED_VALUE"""),1.0)</f>
        <v>1</v>
      </c>
      <c r="M436" s="6" t="str">
        <f>IFERROR(__xludf.DUMMYFUNCTION("""COMPUTED_VALUE"""),"2023-06")</f>
        <v>2023-06</v>
      </c>
    </row>
    <row r="437">
      <c r="A437" s="6" t="str">
        <f>IFERROR(__xludf.DUMMYFUNCTION("""COMPUTED_VALUE"""),"e8ad3355-86e3-4301-abde-06de8f94f05f")</f>
        <v>e8ad3355-86e3-4301-abde-06de8f94f05f</v>
      </c>
      <c r="B437" s="6" t="str">
        <f>IFERROR(__xludf.DUMMYFUNCTION("""COMPUTED_VALUE"""),"c57e69bd-fd08-461e-8425-06dfe159eeab")</f>
        <v>c57e69bd-fd08-461e-8425-06dfe159eeab</v>
      </c>
      <c r="C437" s="7">
        <f>IFERROR(__xludf.DUMMYFUNCTION("""COMPUTED_VALUE"""),44965.0)</f>
        <v>44965</v>
      </c>
      <c r="D437" s="8">
        <f>IFERROR(__xludf.DUMMYFUNCTION("""COMPUTED_VALUE"""),3.3264509E7)</f>
        <v>33264509</v>
      </c>
      <c r="E437" s="6" t="str">
        <f>IFERROR(__xludf.DUMMYFUNCTION("""COMPUTED_VALUE"""),"DOCUMENTARY")</f>
        <v>DOCUMENTARY</v>
      </c>
      <c r="F437" s="6" t="str">
        <f>IFERROR(__xludf.DUMMYFUNCTION("""COMPUTED_VALUE"""),"Action")</f>
        <v>Action</v>
      </c>
      <c r="G437" s="6">
        <f>IFERROR(__xludf.DUMMYFUNCTION("""COMPUTED_VALUE"""),32.0)</f>
        <v>32</v>
      </c>
      <c r="H437" s="6">
        <f>IFERROR(__xludf.DUMMYFUNCTION("""COMPUTED_VALUE"""),1.0)</f>
        <v>1</v>
      </c>
      <c r="I437" s="6" t="str">
        <f>IFERROR(__xludf.DUMMYFUNCTION("""COMPUTED_VALUE"""),"Smart Tv")</f>
        <v>Smart Tv</v>
      </c>
      <c r="J437" s="6" t="str">
        <f>IFERROR(__xludf.DUMMYFUNCTION("""COMPUTED_VALUE"""),"India")</f>
        <v>India</v>
      </c>
      <c r="K437" s="6" t="str">
        <f>IFERROR(__xludf.DUMMYFUNCTION("""COMPUTED_VALUE"""),"Premium")</f>
        <v>Premium</v>
      </c>
      <c r="L437" s="6">
        <f>IFERROR(__xludf.DUMMYFUNCTION("""COMPUTED_VALUE"""),0.0)</f>
        <v>0</v>
      </c>
      <c r="M437" s="6" t="str">
        <f>IFERROR(__xludf.DUMMYFUNCTION("""COMPUTED_VALUE"""),"2023-02")</f>
        <v>2023-02</v>
      </c>
    </row>
    <row r="438">
      <c r="A438" s="6" t="str">
        <f>IFERROR(__xludf.DUMMYFUNCTION("""COMPUTED_VALUE"""),"df4e5a0c-c3d9-4fe5-875a-733302d00226")</f>
        <v>df4e5a0c-c3d9-4fe5-875a-733302d00226</v>
      </c>
      <c r="B438" s="6" t="str">
        <f>IFERROR(__xludf.DUMMYFUNCTION("""COMPUTED_VALUE"""),"c5d41f0f-1228-46c7-b367-3536660c2138")</f>
        <v>c5d41f0f-1228-46c7-b367-3536660c2138</v>
      </c>
      <c r="C438" s="7">
        <f>IFERROR(__xludf.DUMMYFUNCTION("""COMPUTED_VALUE"""),45060.0)</f>
        <v>45060</v>
      </c>
      <c r="D438" s="8">
        <f>IFERROR(__xludf.DUMMYFUNCTION("""COMPUTED_VALUE"""),2.7708408E7)</f>
        <v>27708408</v>
      </c>
      <c r="E438" s="6" t="str">
        <f>IFERROR(__xludf.DUMMYFUNCTION("""COMPUTED_VALUE"""),"MOVIE")</f>
        <v>MOVIE</v>
      </c>
      <c r="F438" s="6" t="str">
        <f>IFERROR(__xludf.DUMMYFUNCTION("""COMPUTED_VALUE"""),"Comedy")</f>
        <v>Comedy</v>
      </c>
      <c r="G438" s="6">
        <f>IFERROR(__xludf.DUMMYFUNCTION("""COMPUTED_VALUE"""),48.0)</f>
        <v>48</v>
      </c>
      <c r="H438" s="6">
        <f>IFERROR(__xludf.DUMMYFUNCTION("""COMPUTED_VALUE"""),1.0)</f>
        <v>1</v>
      </c>
      <c r="I438" s="6" t="str">
        <f>IFERROR(__xludf.DUMMYFUNCTION("""COMPUTED_VALUE"""),"Mobile")</f>
        <v>Mobile</v>
      </c>
      <c r="J438" s="6" t="str">
        <f>IFERROR(__xludf.DUMMYFUNCTION("""COMPUTED_VALUE"""),"Usa")</f>
        <v>Usa</v>
      </c>
      <c r="K438" s="6" t="str">
        <f>IFERROR(__xludf.DUMMYFUNCTION("""COMPUTED_VALUE"""),"Basic")</f>
        <v>Basic</v>
      </c>
      <c r="L438" s="6">
        <f>IFERROR(__xludf.DUMMYFUNCTION("""COMPUTED_VALUE"""),0.0)</f>
        <v>0</v>
      </c>
      <c r="M438" s="6" t="str">
        <f>IFERROR(__xludf.DUMMYFUNCTION("""COMPUTED_VALUE"""),"2023-05")</f>
        <v>2023-05</v>
      </c>
    </row>
    <row r="439">
      <c r="A439" s="6" t="str">
        <f>IFERROR(__xludf.DUMMYFUNCTION("""COMPUTED_VALUE"""),"80e9889d-e42d-4ba0-a2d4-870ae3604ea5")</f>
        <v>80e9889d-e42d-4ba0-a2d4-870ae3604ea5</v>
      </c>
      <c r="B439" s="6" t="str">
        <f>IFERROR(__xludf.DUMMYFUNCTION("""COMPUTED_VALUE"""),"c5db2a8a-ab7b-4aae-a56e-bf61a931a341")</f>
        <v>c5db2a8a-ab7b-4aae-a56e-bf61a931a341</v>
      </c>
      <c r="C439" s="7">
        <f>IFERROR(__xludf.DUMMYFUNCTION("""COMPUTED_VALUE"""),45038.0)</f>
        <v>45038</v>
      </c>
      <c r="D439" s="8">
        <f>IFERROR(__xludf.DUMMYFUNCTION("""COMPUTED_VALUE"""),8.4242877E7)</f>
        <v>84242877</v>
      </c>
      <c r="E439" s="6" t="str">
        <f>IFERROR(__xludf.DUMMYFUNCTION("""COMPUTED_VALUE"""),"MOVIE")</f>
        <v>MOVIE</v>
      </c>
      <c r="F439" s="6" t="str">
        <f>IFERROR(__xludf.DUMMYFUNCTION("""COMPUTED_VALUE"""),"Sci-Fi")</f>
        <v>Sci-Fi</v>
      </c>
      <c r="G439" s="6">
        <f>IFERROR(__xludf.DUMMYFUNCTION("""COMPUTED_VALUE"""),125.0)</f>
        <v>125</v>
      </c>
      <c r="H439" s="6">
        <f>IFERROR(__xludf.DUMMYFUNCTION("""COMPUTED_VALUE"""),0.0)</f>
        <v>0</v>
      </c>
      <c r="I439" s="6" t="str">
        <f>IFERROR(__xludf.DUMMYFUNCTION("""COMPUTED_VALUE"""),"Desktop")</f>
        <v>Desktop</v>
      </c>
      <c r="J439" s="6" t="str">
        <f>IFERROR(__xludf.DUMMYFUNCTION("""COMPUTED_VALUE"""),"Germany")</f>
        <v>Germany</v>
      </c>
      <c r="K439" s="6" t="str">
        <f>IFERROR(__xludf.DUMMYFUNCTION("""COMPUTED_VALUE"""),"Standard")</f>
        <v>Standard</v>
      </c>
      <c r="L439" s="6">
        <f>IFERROR(__xludf.DUMMYFUNCTION("""COMPUTED_VALUE"""),0.0)</f>
        <v>0</v>
      </c>
      <c r="M439" s="6" t="str">
        <f>IFERROR(__xludf.DUMMYFUNCTION("""COMPUTED_VALUE"""),"2023-04")</f>
        <v>2023-04</v>
      </c>
    </row>
    <row r="440">
      <c r="A440" s="6" t="str">
        <f>IFERROR(__xludf.DUMMYFUNCTION("""COMPUTED_VALUE"""),"ed6d5389-a0ec-48d1-8835-9e8a9268ab5e")</f>
        <v>ed6d5389-a0ec-48d1-8835-9e8a9268ab5e</v>
      </c>
      <c r="B440" s="6" t="str">
        <f>IFERROR(__xludf.DUMMYFUNCTION("""COMPUTED_VALUE"""),"c5e1f98d-39be-4773-8040-9b8b8176fc72")</f>
        <v>c5e1f98d-39be-4773-8040-9b8b8176fc72</v>
      </c>
      <c r="C440" s="7">
        <f>IFERROR(__xludf.DUMMYFUNCTION("""COMPUTED_VALUE"""),45134.0)</f>
        <v>45134</v>
      </c>
      <c r="D440" s="8">
        <f>IFERROR(__xludf.DUMMYFUNCTION("""COMPUTED_VALUE"""),8.8209722E7)</f>
        <v>88209722</v>
      </c>
      <c r="E440" s="6" t="str">
        <f>IFERROR(__xludf.DUMMYFUNCTION("""COMPUTED_VALUE"""),"DOCUMENTARY")</f>
        <v>DOCUMENTARY</v>
      </c>
      <c r="F440" s="6" t="str">
        <f>IFERROR(__xludf.DUMMYFUNCTION("""COMPUTED_VALUE"""),"Action")</f>
        <v>Action</v>
      </c>
      <c r="G440" s="6">
        <f>IFERROR(__xludf.DUMMYFUNCTION("""COMPUTED_VALUE"""),148.0)</f>
        <v>148</v>
      </c>
      <c r="H440" s="6">
        <f>IFERROR(__xludf.DUMMYFUNCTION("""COMPUTED_VALUE"""),1.0)</f>
        <v>1</v>
      </c>
      <c r="I440" s="6" t="str">
        <f>IFERROR(__xludf.DUMMYFUNCTION("""COMPUTED_VALUE"""),"Mobile")</f>
        <v>Mobile</v>
      </c>
      <c r="J440" s="6" t="str">
        <f>IFERROR(__xludf.DUMMYFUNCTION("""COMPUTED_VALUE"""),"Uk")</f>
        <v>Uk</v>
      </c>
      <c r="K440" s="6" t="str">
        <f>IFERROR(__xludf.DUMMYFUNCTION("""COMPUTED_VALUE"""),"Standard")</f>
        <v>Standard</v>
      </c>
      <c r="L440" s="6">
        <f>IFERROR(__xludf.DUMMYFUNCTION("""COMPUTED_VALUE"""),0.0)</f>
        <v>0</v>
      </c>
      <c r="M440" s="6" t="str">
        <f>IFERROR(__xludf.DUMMYFUNCTION("""COMPUTED_VALUE"""),"2023-07")</f>
        <v>2023-07</v>
      </c>
    </row>
    <row r="441">
      <c r="A441" s="6" t="str">
        <f>IFERROR(__xludf.DUMMYFUNCTION("""COMPUTED_VALUE"""),"722219dc-b01e-4a8d-b8f8-c77d80857fb2")</f>
        <v>722219dc-b01e-4a8d-b8f8-c77d80857fb2</v>
      </c>
      <c r="B441" s="6" t="str">
        <f>IFERROR(__xludf.DUMMYFUNCTION("""COMPUTED_VALUE"""),"c7266478-a0d8-41c3-b10d-20b1cbd8a284")</f>
        <v>c7266478-a0d8-41c3-b10d-20b1cbd8a284</v>
      </c>
      <c r="C441" s="7">
        <f>IFERROR(__xludf.DUMMYFUNCTION("""COMPUTED_VALUE"""),45124.0)</f>
        <v>45124</v>
      </c>
      <c r="D441" s="8">
        <f>IFERROR(__xludf.DUMMYFUNCTION("""COMPUTED_VALUE"""),5.7502342E7)</f>
        <v>57502342</v>
      </c>
      <c r="E441" s="6" t="str">
        <f>IFERROR(__xludf.DUMMYFUNCTION("""COMPUTED_VALUE"""),"SERIES")</f>
        <v>SERIES</v>
      </c>
      <c r="F441" s="6" t="str">
        <f>IFERROR(__xludf.DUMMYFUNCTION("""COMPUTED_VALUE"""),"Action")</f>
        <v>Action</v>
      </c>
      <c r="G441" s="6">
        <f>IFERROR(__xludf.DUMMYFUNCTION("""COMPUTED_VALUE"""),85.0)</f>
        <v>85</v>
      </c>
      <c r="H441" s="6">
        <f>IFERROR(__xludf.DUMMYFUNCTION("""COMPUTED_VALUE"""),1.0)</f>
        <v>1</v>
      </c>
      <c r="I441" s="6" t="str">
        <f>IFERROR(__xludf.DUMMYFUNCTION("""COMPUTED_VALUE"""),"Smart Tv")</f>
        <v>Smart Tv</v>
      </c>
      <c r="J441" s="6" t="str">
        <f>IFERROR(__xludf.DUMMYFUNCTION("""COMPUTED_VALUE"""),"Germany")</f>
        <v>Germany</v>
      </c>
      <c r="K441" s="6" t="str">
        <f>IFERROR(__xludf.DUMMYFUNCTION("""COMPUTED_VALUE"""),"Basic")</f>
        <v>Basic</v>
      </c>
      <c r="L441" s="6">
        <f>IFERROR(__xludf.DUMMYFUNCTION("""COMPUTED_VALUE"""),0.0)</f>
        <v>0</v>
      </c>
      <c r="M441" s="6" t="str">
        <f>IFERROR(__xludf.DUMMYFUNCTION("""COMPUTED_VALUE"""),"2023-07")</f>
        <v>2023-07</v>
      </c>
    </row>
    <row r="442">
      <c r="A442" s="6" t="str">
        <f>IFERROR(__xludf.DUMMYFUNCTION("""COMPUTED_VALUE"""),"97886cf0-da67-49b3-b7a9-588d5f740d3c")</f>
        <v>97886cf0-da67-49b3-b7a9-588d5f740d3c</v>
      </c>
      <c r="B442" s="6" t="str">
        <f>IFERROR(__xludf.DUMMYFUNCTION("""COMPUTED_VALUE"""),"c7d6cf7c-17e7-4d0e-875b-98a6d6cb13ac")</f>
        <v>c7d6cf7c-17e7-4d0e-875b-98a6d6cb13ac</v>
      </c>
      <c r="C442" s="7">
        <f>IFERROR(__xludf.DUMMYFUNCTION("""COMPUTED_VALUE"""),45148.0)</f>
        <v>45148</v>
      </c>
      <c r="D442" s="8">
        <f>IFERROR(__xludf.DUMMYFUNCTION("""COMPUTED_VALUE"""),3.0660069E7)</f>
        <v>30660069</v>
      </c>
      <c r="E442" s="6" t="str">
        <f>IFERROR(__xludf.DUMMYFUNCTION("""COMPUTED_VALUE"""),"MOVIE")</f>
        <v>MOVIE</v>
      </c>
      <c r="F442" s="6" t="str">
        <f>IFERROR(__xludf.DUMMYFUNCTION("""COMPUTED_VALUE"""),"Sci-Fi")</f>
        <v>Sci-Fi</v>
      </c>
      <c r="G442" s="6">
        <f>IFERROR(__xludf.DUMMYFUNCTION("""COMPUTED_VALUE"""),142.0)</f>
        <v>142</v>
      </c>
      <c r="H442" s="6">
        <f>IFERROR(__xludf.DUMMYFUNCTION("""COMPUTED_VALUE"""),1.0)</f>
        <v>1</v>
      </c>
      <c r="I442" s="6" t="str">
        <f>IFERROR(__xludf.DUMMYFUNCTION("""COMPUTED_VALUE"""),"Smart Tv")</f>
        <v>Smart Tv</v>
      </c>
      <c r="J442" s="6" t="str">
        <f>IFERROR(__xludf.DUMMYFUNCTION("""COMPUTED_VALUE"""),"France")</f>
        <v>France</v>
      </c>
      <c r="K442" s="6" t="str">
        <f>IFERROR(__xludf.DUMMYFUNCTION("""COMPUTED_VALUE"""),"Basic")</f>
        <v>Basic</v>
      </c>
      <c r="L442" s="6">
        <f>IFERROR(__xludf.DUMMYFUNCTION("""COMPUTED_VALUE"""),0.0)</f>
        <v>0</v>
      </c>
      <c r="M442" s="6" t="str">
        <f>IFERROR(__xludf.DUMMYFUNCTION("""COMPUTED_VALUE"""),"2023-08")</f>
        <v>2023-08</v>
      </c>
    </row>
    <row r="443">
      <c r="A443" s="6" t="str">
        <f>IFERROR(__xludf.DUMMYFUNCTION("""COMPUTED_VALUE"""),"74424556-689f-44ea-908e-077795b71925")</f>
        <v>74424556-689f-44ea-908e-077795b71925</v>
      </c>
      <c r="B443" s="6" t="str">
        <f>IFERROR(__xludf.DUMMYFUNCTION("""COMPUTED_VALUE"""),"c8311958-82ca-45dd-aa86-33f36b3558d2")</f>
        <v>c8311958-82ca-45dd-aa86-33f36b3558d2</v>
      </c>
      <c r="C443" s="7">
        <f>IFERROR(__xludf.DUMMYFUNCTION("""COMPUTED_VALUE"""),45120.0)</f>
        <v>45120</v>
      </c>
      <c r="D443" s="8">
        <f>IFERROR(__xludf.DUMMYFUNCTION("""COMPUTED_VALUE"""),1.0414866E7)</f>
        <v>10414866</v>
      </c>
      <c r="E443" s="6" t="str">
        <f>IFERROR(__xludf.DUMMYFUNCTION("""COMPUTED_VALUE"""),"MOVIE")</f>
        <v>MOVIE</v>
      </c>
      <c r="F443" s="6" t="str">
        <f>IFERROR(__xludf.DUMMYFUNCTION("""COMPUTED_VALUE"""),"Drama")</f>
        <v>Drama</v>
      </c>
      <c r="G443" s="6">
        <f>IFERROR(__xludf.DUMMYFUNCTION("""COMPUTED_VALUE"""),73.0)</f>
        <v>73</v>
      </c>
      <c r="H443" s="6">
        <f>IFERROR(__xludf.DUMMYFUNCTION("""COMPUTED_VALUE"""),0.0)</f>
        <v>0</v>
      </c>
      <c r="I443" s="6" t="str">
        <f>IFERROR(__xludf.DUMMYFUNCTION("""COMPUTED_VALUE"""),"Smart Tv")</f>
        <v>Smart Tv</v>
      </c>
      <c r="J443" s="6" t="str">
        <f>IFERROR(__xludf.DUMMYFUNCTION("""COMPUTED_VALUE"""),"France")</f>
        <v>France</v>
      </c>
      <c r="K443" s="6" t="str">
        <f>IFERROR(__xludf.DUMMYFUNCTION("""COMPUTED_VALUE"""),"Standard")</f>
        <v>Standard</v>
      </c>
      <c r="L443" s="6">
        <f>IFERROR(__xludf.DUMMYFUNCTION("""COMPUTED_VALUE"""),1.0)</f>
        <v>1</v>
      </c>
      <c r="M443" s="6" t="str">
        <f>IFERROR(__xludf.DUMMYFUNCTION("""COMPUTED_VALUE"""),"2023-07")</f>
        <v>2023-07</v>
      </c>
    </row>
    <row r="444">
      <c r="A444" s="6" t="str">
        <f>IFERROR(__xludf.DUMMYFUNCTION("""COMPUTED_VALUE"""),"e6cd146c-6c41-4b3b-b7b9-15a89a46cb39")</f>
        <v>e6cd146c-6c41-4b3b-b7b9-15a89a46cb39</v>
      </c>
      <c r="B444" s="6" t="str">
        <f>IFERROR(__xludf.DUMMYFUNCTION("""COMPUTED_VALUE"""),"c839944d-da76-435f-a895-73f3f27309f1")</f>
        <v>c839944d-da76-435f-a895-73f3f27309f1</v>
      </c>
      <c r="C444" s="7">
        <f>IFERROR(__xludf.DUMMYFUNCTION("""COMPUTED_VALUE"""),45235.0)</f>
        <v>45235</v>
      </c>
      <c r="D444" s="8">
        <f>IFERROR(__xludf.DUMMYFUNCTION("""COMPUTED_VALUE"""),9.2406223E7)</f>
        <v>92406223</v>
      </c>
      <c r="E444" s="6" t="str">
        <f>IFERROR(__xludf.DUMMYFUNCTION("""COMPUTED_VALUE"""),"MOVIE")</f>
        <v>MOVIE</v>
      </c>
      <c r="F444" s="6" t="str">
        <f>IFERROR(__xludf.DUMMYFUNCTION("""COMPUTED_VALUE"""),"Sci-Fi")</f>
        <v>Sci-Fi</v>
      </c>
      <c r="G444" s="6">
        <f>IFERROR(__xludf.DUMMYFUNCTION("""COMPUTED_VALUE"""),32.0)</f>
        <v>32</v>
      </c>
      <c r="H444" s="6">
        <f>IFERROR(__xludf.DUMMYFUNCTION("""COMPUTED_VALUE"""),1.0)</f>
        <v>1</v>
      </c>
      <c r="I444" s="6" t="str">
        <f>IFERROR(__xludf.DUMMYFUNCTION("""COMPUTED_VALUE"""),"Tablet")</f>
        <v>Tablet</v>
      </c>
      <c r="J444" s="6" t="str">
        <f>IFERROR(__xludf.DUMMYFUNCTION("""COMPUTED_VALUE"""),"India")</f>
        <v>India</v>
      </c>
      <c r="K444" s="6" t="str">
        <f>IFERROR(__xludf.DUMMYFUNCTION("""COMPUTED_VALUE"""),"Basic")</f>
        <v>Basic</v>
      </c>
      <c r="L444" s="6">
        <f>IFERROR(__xludf.DUMMYFUNCTION("""COMPUTED_VALUE"""),0.0)</f>
        <v>0</v>
      </c>
      <c r="M444" s="6" t="str">
        <f>IFERROR(__xludf.DUMMYFUNCTION("""COMPUTED_VALUE"""),"2023-11")</f>
        <v>2023-11</v>
      </c>
    </row>
    <row r="445">
      <c r="A445" s="6" t="str">
        <f>IFERROR(__xludf.DUMMYFUNCTION("""COMPUTED_VALUE"""),"dfcba975-1435-4a0c-9953-ded8c4ea7478")</f>
        <v>dfcba975-1435-4a0c-9953-ded8c4ea7478</v>
      </c>
      <c r="B445" s="6" t="str">
        <f>IFERROR(__xludf.DUMMYFUNCTION("""COMPUTED_VALUE"""),"c84b87c7-0606-433f-abf6-3bf9a0a7ae6f")</f>
        <v>c84b87c7-0606-433f-abf6-3bf9a0a7ae6f</v>
      </c>
      <c r="C445" s="7">
        <f>IFERROR(__xludf.DUMMYFUNCTION("""COMPUTED_VALUE"""),45281.0)</f>
        <v>45281</v>
      </c>
      <c r="D445" s="8">
        <f>IFERROR(__xludf.DUMMYFUNCTION("""COMPUTED_VALUE"""),9.9928025E7)</f>
        <v>99928025</v>
      </c>
      <c r="E445" s="6" t="str">
        <f>IFERROR(__xludf.DUMMYFUNCTION("""COMPUTED_VALUE"""),"DOCUMENTARY")</f>
        <v>DOCUMENTARY</v>
      </c>
      <c r="F445" s="6" t="str">
        <f>IFERROR(__xludf.DUMMYFUNCTION("""COMPUTED_VALUE"""),"Comedy")</f>
        <v>Comedy</v>
      </c>
      <c r="G445" s="6">
        <f>IFERROR(__xludf.DUMMYFUNCTION("""COMPUTED_VALUE"""),93.0)</f>
        <v>93</v>
      </c>
      <c r="H445" s="6">
        <f>IFERROR(__xludf.DUMMYFUNCTION("""COMPUTED_VALUE"""),0.0)</f>
        <v>0</v>
      </c>
      <c r="I445" s="6" t="str">
        <f>IFERROR(__xludf.DUMMYFUNCTION("""COMPUTED_VALUE"""),"Smart Tv")</f>
        <v>Smart Tv</v>
      </c>
      <c r="J445" s="6" t="str">
        <f>IFERROR(__xludf.DUMMYFUNCTION("""COMPUTED_VALUE"""),"France")</f>
        <v>France</v>
      </c>
      <c r="K445" s="6" t="str">
        <f>IFERROR(__xludf.DUMMYFUNCTION("""COMPUTED_VALUE"""),"Basic")</f>
        <v>Basic</v>
      </c>
      <c r="L445" s="6">
        <f>IFERROR(__xludf.DUMMYFUNCTION("""COMPUTED_VALUE"""),0.0)</f>
        <v>0</v>
      </c>
      <c r="M445" s="6" t="str">
        <f>IFERROR(__xludf.DUMMYFUNCTION("""COMPUTED_VALUE"""),"2023-12")</f>
        <v>2023-12</v>
      </c>
    </row>
    <row r="446">
      <c r="A446" s="6" t="str">
        <f>IFERROR(__xludf.DUMMYFUNCTION("""COMPUTED_VALUE"""),"0ad9620c-26a0-4b36-b75e-9378f67473f9")</f>
        <v>0ad9620c-26a0-4b36-b75e-9378f67473f9</v>
      </c>
      <c r="B446" s="6" t="str">
        <f>IFERROR(__xludf.DUMMYFUNCTION("""COMPUTED_VALUE"""),"c89f2909-25a2-4afb-8a9b-8c1ed4733bb6")</f>
        <v>c89f2909-25a2-4afb-8a9b-8c1ed4733bb6</v>
      </c>
      <c r="C446" s="7">
        <f>IFERROR(__xludf.DUMMYFUNCTION("""COMPUTED_VALUE"""),45154.0)</f>
        <v>45154</v>
      </c>
      <c r="D446" s="8">
        <f>IFERROR(__xludf.DUMMYFUNCTION("""COMPUTED_VALUE"""),7.6596131E7)</f>
        <v>76596131</v>
      </c>
      <c r="E446" s="6" t="str">
        <f>IFERROR(__xludf.DUMMYFUNCTION("""COMPUTED_VALUE"""),"SERIES")</f>
        <v>SERIES</v>
      </c>
      <c r="F446" s="6" t="str">
        <f>IFERROR(__xludf.DUMMYFUNCTION("""COMPUTED_VALUE"""),"Thriller")</f>
        <v>Thriller</v>
      </c>
      <c r="G446" s="6">
        <f>IFERROR(__xludf.DUMMYFUNCTION("""COMPUTED_VALUE"""),27.0)</f>
        <v>27</v>
      </c>
      <c r="H446" s="6">
        <f>IFERROR(__xludf.DUMMYFUNCTION("""COMPUTED_VALUE"""),0.0)</f>
        <v>0</v>
      </c>
      <c r="I446" s="6" t="str">
        <f>IFERROR(__xludf.DUMMYFUNCTION("""COMPUTED_VALUE"""),"Desktop")</f>
        <v>Desktop</v>
      </c>
      <c r="J446" s="6" t="str">
        <f>IFERROR(__xludf.DUMMYFUNCTION("""COMPUTED_VALUE"""),"Germany")</f>
        <v>Germany</v>
      </c>
      <c r="K446" s="6" t="str">
        <f>IFERROR(__xludf.DUMMYFUNCTION("""COMPUTED_VALUE"""),"Premium")</f>
        <v>Premium</v>
      </c>
      <c r="L446" s="6">
        <f>IFERROR(__xludf.DUMMYFUNCTION("""COMPUTED_VALUE"""),0.0)</f>
        <v>0</v>
      </c>
      <c r="M446" s="6" t="str">
        <f>IFERROR(__xludf.DUMMYFUNCTION("""COMPUTED_VALUE"""),"2023-08")</f>
        <v>2023-08</v>
      </c>
    </row>
    <row r="447">
      <c r="A447" s="6" t="str">
        <f>IFERROR(__xludf.DUMMYFUNCTION("""COMPUTED_VALUE"""),"3e4ac540-78b5-41de-8e9c-85a7a7176911")</f>
        <v>3e4ac540-78b5-41de-8e9c-85a7a7176911</v>
      </c>
      <c r="B447" s="6" t="str">
        <f>IFERROR(__xludf.DUMMYFUNCTION("""COMPUTED_VALUE"""),"c90694ba-6152-4b60-9860-fecbda20a2bb")</f>
        <v>c90694ba-6152-4b60-9860-fecbda20a2bb</v>
      </c>
      <c r="C447" s="7">
        <f>IFERROR(__xludf.DUMMYFUNCTION("""COMPUTED_VALUE"""),45152.0)</f>
        <v>45152</v>
      </c>
      <c r="D447" s="8">
        <f>IFERROR(__xludf.DUMMYFUNCTION("""COMPUTED_VALUE"""),4.193926E7)</f>
        <v>41939260</v>
      </c>
      <c r="E447" s="6" t="str">
        <f>IFERROR(__xludf.DUMMYFUNCTION("""COMPUTED_VALUE"""),"SERIES")</f>
        <v>SERIES</v>
      </c>
      <c r="F447" s="6" t="str">
        <f>IFERROR(__xludf.DUMMYFUNCTION("""COMPUTED_VALUE"""),"Drama")</f>
        <v>Drama</v>
      </c>
      <c r="G447" s="6">
        <f>IFERROR(__xludf.DUMMYFUNCTION("""COMPUTED_VALUE"""),27.0)</f>
        <v>27</v>
      </c>
      <c r="H447" s="6">
        <f>IFERROR(__xludf.DUMMYFUNCTION("""COMPUTED_VALUE"""),0.0)</f>
        <v>0</v>
      </c>
      <c r="I447" s="6" t="str">
        <f>IFERROR(__xludf.DUMMYFUNCTION("""COMPUTED_VALUE"""),"Smart Tv")</f>
        <v>Smart Tv</v>
      </c>
      <c r="J447" s="6" t="str">
        <f>IFERROR(__xludf.DUMMYFUNCTION("""COMPUTED_VALUE"""),"Uk")</f>
        <v>Uk</v>
      </c>
      <c r="K447" s="6" t="str">
        <f>IFERROR(__xludf.DUMMYFUNCTION("""COMPUTED_VALUE"""),"Premium")</f>
        <v>Premium</v>
      </c>
      <c r="L447" s="6">
        <f>IFERROR(__xludf.DUMMYFUNCTION("""COMPUTED_VALUE"""),0.0)</f>
        <v>0</v>
      </c>
      <c r="M447" s="6" t="str">
        <f>IFERROR(__xludf.DUMMYFUNCTION("""COMPUTED_VALUE"""),"2023-08")</f>
        <v>2023-08</v>
      </c>
    </row>
    <row r="448">
      <c r="A448" s="6" t="str">
        <f>IFERROR(__xludf.DUMMYFUNCTION("""COMPUTED_VALUE"""),"8b252c5a-357d-4205-9b8c-dd56b9ef3e8f")</f>
        <v>8b252c5a-357d-4205-9b8c-dd56b9ef3e8f</v>
      </c>
      <c r="B448" s="6" t="str">
        <f>IFERROR(__xludf.DUMMYFUNCTION("""COMPUTED_VALUE"""),"c946d396-e705-447a-8ff5-103be7d3c191")</f>
        <v>c946d396-e705-447a-8ff5-103be7d3c191</v>
      </c>
      <c r="C448" s="7">
        <f>IFERROR(__xludf.DUMMYFUNCTION("""COMPUTED_VALUE"""),45007.0)</f>
        <v>45007</v>
      </c>
      <c r="D448" s="8">
        <f>IFERROR(__xludf.DUMMYFUNCTION("""COMPUTED_VALUE"""),5901616.0)</f>
        <v>5901616</v>
      </c>
      <c r="E448" s="6" t="str">
        <f>IFERROR(__xludf.DUMMYFUNCTION("""COMPUTED_VALUE"""),"MOVIE")</f>
        <v>MOVIE</v>
      </c>
      <c r="F448" s="6" t="str">
        <f>IFERROR(__xludf.DUMMYFUNCTION("""COMPUTED_VALUE"""),"Comedy")</f>
        <v>Comedy</v>
      </c>
      <c r="G448" s="6">
        <f>IFERROR(__xludf.DUMMYFUNCTION("""COMPUTED_VALUE"""),80.0)</f>
        <v>80</v>
      </c>
      <c r="H448" s="6">
        <f>IFERROR(__xludf.DUMMYFUNCTION("""COMPUTED_VALUE"""),1.0)</f>
        <v>1</v>
      </c>
      <c r="I448" s="6" t="str">
        <f>IFERROR(__xludf.DUMMYFUNCTION("""COMPUTED_VALUE"""),"Desktop")</f>
        <v>Desktop</v>
      </c>
      <c r="J448" s="6" t="str">
        <f>IFERROR(__xludf.DUMMYFUNCTION("""COMPUTED_VALUE"""),"Usa")</f>
        <v>Usa</v>
      </c>
      <c r="K448" s="6" t="str">
        <f>IFERROR(__xludf.DUMMYFUNCTION("""COMPUTED_VALUE"""),"Basic")</f>
        <v>Basic</v>
      </c>
      <c r="L448" s="6">
        <f>IFERROR(__xludf.DUMMYFUNCTION("""COMPUTED_VALUE"""),0.0)</f>
        <v>0</v>
      </c>
      <c r="M448" s="6" t="str">
        <f>IFERROR(__xludf.DUMMYFUNCTION("""COMPUTED_VALUE"""),"2023-03")</f>
        <v>2023-03</v>
      </c>
    </row>
    <row r="449">
      <c r="A449" s="6" t="str">
        <f>IFERROR(__xludf.DUMMYFUNCTION("""COMPUTED_VALUE"""),"c7114022-e4d7-43ce-b51f-93db0125d932")</f>
        <v>c7114022-e4d7-43ce-b51f-93db0125d932</v>
      </c>
      <c r="B449" s="6" t="str">
        <f>IFERROR(__xludf.DUMMYFUNCTION("""COMPUTED_VALUE"""),"c9853948-8d41-4da2-87c6-0aed7f3e7c29")</f>
        <v>c9853948-8d41-4da2-87c6-0aed7f3e7c29</v>
      </c>
      <c r="C449" s="7">
        <f>IFERROR(__xludf.DUMMYFUNCTION("""COMPUTED_VALUE"""),45264.0)</f>
        <v>45264</v>
      </c>
      <c r="D449" s="8">
        <f>IFERROR(__xludf.DUMMYFUNCTION("""COMPUTED_VALUE"""),7.6719646E7)</f>
        <v>76719646</v>
      </c>
      <c r="E449" s="6" t="str">
        <f>IFERROR(__xludf.DUMMYFUNCTION("""COMPUTED_VALUE"""),"MOVIE")</f>
        <v>MOVIE</v>
      </c>
      <c r="F449" s="6" t="str">
        <f>IFERROR(__xludf.DUMMYFUNCTION("""COMPUTED_VALUE"""),"Sci-Fi")</f>
        <v>Sci-Fi</v>
      </c>
      <c r="G449" s="6">
        <f>IFERROR(__xludf.DUMMYFUNCTION("""COMPUTED_VALUE"""),83.0)</f>
        <v>83</v>
      </c>
      <c r="H449" s="6">
        <f>IFERROR(__xludf.DUMMYFUNCTION("""COMPUTED_VALUE"""),1.0)</f>
        <v>1</v>
      </c>
      <c r="I449" s="6" t="str">
        <f>IFERROR(__xludf.DUMMYFUNCTION("""COMPUTED_VALUE"""),"Desktop")</f>
        <v>Desktop</v>
      </c>
      <c r="J449" s="6" t="str">
        <f>IFERROR(__xludf.DUMMYFUNCTION("""COMPUTED_VALUE"""),"Germany")</f>
        <v>Germany</v>
      </c>
      <c r="K449" s="6" t="str">
        <f>IFERROR(__xludf.DUMMYFUNCTION("""COMPUTED_VALUE"""),"Basic")</f>
        <v>Basic</v>
      </c>
      <c r="L449" s="6">
        <f>IFERROR(__xludf.DUMMYFUNCTION("""COMPUTED_VALUE"""),0.0)</f>
        <v>0</v>
      </c>
      <c r="M449" s="6" t="str">
        <f>IFERROR(__xludf.DUMMYFUNCTION("""COMPUTED_VALUE"""),"2023-12")</f>
        <v>2023-12</v>
      </c>
    </row>
    <row r="450">
      <c r="A450" s="6" t="str">
        <f>IFERROR(__xludf.DUMMYFUNCTION("""COMPUTED_VALUE"""),"aabca6a0-500f-4045-8468-85e154e44ed9")</f>
        <v>aabca6a0-500f-4045-8468-85e154e44ed9</v>
      </c>
      <c r="B450" s="6" t="str">
        <f>IFERROR(__xludf.DUMMYFUNCTION("""COMPUTED_VALUE"""),"c9b30161-6836-4a8f-afc6-4ca4242a28d8")</f>
        <v>c9b30161-6836-4a8f-afc6-4ca4242a28d8</v>
      </c>
      <c r="C450" s="7">
        <f>IFERROR(__xludf.DUMMYFUNCTION("""COMPUTED_VALUE"""),45029.0)</f>
        <v>45029</v>
      </c>
      <c r="D450" s="8">
        <f>IFERROR(__xludf.DUMMYFUNCTION("""COMPUTED_VALUE"""),3.5141945E7)</f>
        <v>35141945</v>
      </c>
      <c r="E450" s="6" t="str">
        <f>IFERROR(__xludf.DUMMYFUNCTION("""COMPUTED_VALUE"""),"DOCUMENTARY")</f>
        <v>DOCUMENTARY</v>
      </c>
      <c r="F450" s="6" t="str">
        <f>IFERROR(__xludf.DUMMYFUNCTION("""COMPUTED_VALUE"""),"Sci-Fi")</f>
        <v>Sci-Fi</v>
      </c>
      <c r="G450" s="6">
        <f>IFERROR(__xludf.DUMMYFUNCTION("""COMPUTED_VALUE"""),31.0)</f>
        <v>31</v>
      </c>
      <c r="H450" s="6">
        <f>IFERROR(__xludf.DUMMYFUNCTION("""COMPUTED_VALUE"""),1.0)</f>
        <v>1</v>
      </c>
      <c r="I450" s="6" t="str">
        <f>IFERROR(__xludf.DUMMYFUNCTION("""COMPUTED_VALUE"""),"Desktop")</f>
        <v>Desktop</v>
      </c>
      <c r="J450" s="6" t="str">
        <f>IFERROR(__xludf.DUMMYFUNCTION("""COMPUTED_VALUE"""),"Usa")</f>
        <v>Usa</v>
      </c>
      <c r="K450" s="6" t="str">
        <f>IFERROR(__xludf.DUMMYFUNCTION("""COMPUTED_VALUE"""),"Basic")</f>
        <v>Basic</v>
      </c>
      <c r="L450" s="6">
        <f>IFERROR(__xludf.DUMMYFUNCTION("""COMPUTED_VALUE"""),1.0)</f>
        <v>1</v>
      </c>
      <c r="M450" s="6" t="str">
        <f>IFERROR(__xludf.DUMMYFUNCTION("""COMPUTED_VALUE"""),"2023-04")</f>
        <v>2023-04</v>
      </c>
    </row>
    <row r="451">
      <c r="A451" s="6" t="str">
        <f>IFERROR(__xludf.DUMMYFUNCTION("""COMPUTED_VALUE"""),"64e036b5-a4fd-4a17-81ba-4be906e22c3e")</f>
        <v>64e036b5-a4fd-4a17-81ba-4be906e22c3e</v>
      </c>
      <c r="B451" s="6" t="str">
        <f>IFERROR(__xludf.DUMMYFUNCTION("""COMPUTED_VALUE"""),"ca79f979-edd3-4dcf-8fc0-8350ac49f8bd")</f>
        <v>ca79f979-edd3-4dcf-8fc0-8350ac49f8bd</v>
      </c>
      <c r="C451" s="7">
        <f>IFERROR(__xludf.DUMMYFUNCTION("""COMPUTED_VALUE"""),45229.0)</f>
        <v>45229</v>
      </c>
      <c r="D451" s="8">
        <f>IFERROR(__xludf.DUMMYFUNCTION("""COMPUTED_VALUE"""),5.0518135E7)</f>
        <v>50518135</v>
      </c>
      <c r="E451" s="6" t="str">
        <f>IFERROR(__xludf.DUMMYFUNCTION("""COMPUTED_VALUE"""),"DOCUMENTARY")</f>
        <v>DOCUMENTARY</v>
      </c>
      <c r="F451" s="6" t="str">
        <f>IFERROR(__xludf.DUMMYFUNCTION("""COMPUTED_VALUE"""),"Comedy")</f>
        <v>Comedy</v>
      </c>
      <c r="G451" s="6">
        <f>IFERROR(__xludf.DUMMYFUNCTION("""COMPUTED_VALUE"""),112.0)</f>
        <v>112</v>
      </c>
      <c r="H451" s="6">
        <f>IFERROR(__xludf.DUMMYFUNCTION("""COMPUTED_VALUE"""),1.0)</f>
        <v>1</v>
      </c>
      <c r="I451" s="6" t="str">
        <f>IFERROR(__xludf.DUMMYFUNCTION("""COMPUTED_VALUE"""),"Smart Tv")</f>
        <v>Smart Tv</v>
      </c>
      <c r="J451" s="6" t="str">
        <f>IFERROR(__xludf.DUMMYFUNCTION("""COMPUTED_VALUE"""),"Germany")</f>
        <v>Germany</v>
      </c>
      <c r="K451" s="6" t="str">
        <f>IFERROR(__xludf.DUMMYFUNCTION("""COMPUTED_VALUE"""),"Standard")</f>
        <v>Standard</v>
      </c>
      <c r="L451" s="6">
        <f>IFERROR(__xludf.DUMMYFUNCTION("""COMPUTED_VALUE"""),0.0)</f>
        <v>0</v>
      </c>
      <c r="M451" s="6" t="str">
        <f>IFERROR(__xludf.DUMMYFUNCTION("""COMPUTED_VALUE"""),"2023-10")</f>
        <v>2023-10</v>
      </c>
    </row>
    <row r="452">
      <c r="A452" s="6" t="str">
        <f>IFERROR(__xludf.DUMMYFUNCTION("""COMPUTED_VALUE"""),"b3daba5e-4734-4b3e-b935-da4cb8b12e28")</f>
        <v>b3daba5e-4734-4b3e-b935-da4cb8b12e28</v>
      </c>
      <c r="B452" s="6" t="str">
        <f>IFERROR(__xludf.DUMMYFUNCTION("""COMPUTED_VALUE"""),"cabd3291-ee2f-4d98-8c0e-4763d2b2847a")</f>
        <v>cabd3291-ee2f-4d98-8c0e-4763d2b2847a</v>
      </c>
      <c r="C452" s="7">
        <f>IFERROR(__xludf.DUMMYFUNCTION("""COMPUTED_VALUE"""),45094.0)</f>
        <v>45094</v>
      </c>
      <c r="D452" s="8">
        <f>IFERROR(__xludf.DUMMYFUNCTION("""COMPUTED_VALUE"""),5.9930563E7)</f>
        <v>59930563</v>
      </c>
      <c r="E452" s="6" t="str">
        <f>IFERROR(__xludf.DUMMYFUNCTION("""COMPUTED_VALUE"""),"SERIES")</f>
        <v>SERIES</v>
      </c>
      <c r="F452" s="6" t="str">
        <f>IFERROR(__xludf.DUMMYFUNCTION("""COMPUTED_VALUE"""),"Sci-Fi")</f>
        <v>Sci-Fi</v>
      </c>
      <c r="G452" s="6">
        <f>IFERROR(__xludf.DUMMYFUNCTION("""COMPUTED_VALUE"""),149.0)</f>
        <v>149</v>
      </c>
      <c r="H452" s="6">
        <f>IFERROR(__xludf.DUMMYFUNCTION("""COMPUTED_VALUE"""),1.0)</f>
        <v>1</v>
      </c>
      <c r="I452" s="6" t="str">
        <f>IFERROR(__xludf.DUMMYFUNCTION("""COMPUTED_VALUE"""),"Smart Tv")</f>
        <v>Smart Tv</v>
      </c>
      <c r="J452" s="6" t="str">
        <f>IFERROR(__xludf.DUMMYFUNCTION("""COMPUTED_VALUE"""),"France")</f>
        <v>France</v>
      </c>
      <c r="K452" s="6" t="str">
        <f>IFERROR(__xludf.DUMMYFUNCTION("""COMPUTED_VALUE"""),"Standard")</f>
        <v>Standard</v>
      </c>
      <c r="L452" s="6">
        <f>IFERROR(__xludf.DUMMYFUNCTION("""COMPUTED_VALUE"""),0.0)</f>
        <v>0</v>
      </c>
      <c r="M452" s="6" t="str">
        <f>IFERROR(__xludf.DUMMYFUNCTION("""COMPUTED_VALUE"""),"2023-06")</f>
        <v>2023-06</v>
      </c>
    </row>
    <row r="453">
      <c r="A453" s="6" t="str">
        <f>IFERROR(__xludf.DUMMYFUNCTION("""COMPUTED_VALUE"""),"fce3c44f-5bca-4ecb-b0fe-4514ad645c15")</f>
        <v>fce3c44f-5bca-4ecb-b0fe-4514ad645c15</v>
      </c>
      <c r="B453" s="6" t="str">
        <f>IFERROR(__xludf.DUMMYFUNCTION("""COMPUTED_VALUE"""),"cba74627-17db-4ca9-9b10-f90792d6a2bf")</f>
        <v>cba74627-17db-4ca9-9b10-f90792d6a2bf</v>
      </c>
      <c r="C453" s="7">
        <f>IFERROR(__xludf.DUMMYFUNCTION("""COMPUTED_VALUE"""),45266.0)</f>
        <v>45266</v>
      </c>
      <c r="D453" s="8">
        <f>IFERROR(__xludf.DUMMYFUNCTION("""COMPUTED_VALUE"""),8.8804156E7)</f>
        <v>88804156</v>
      </c>
      <c r="E453" s="6" t="str">
        <f>IFERROR(__xludf.DUMMYFUNCTION("""COMPUTED_VALUE"""),"MOVIE")</f>
        <v>MOVIE</v>
      </c>
      <c r="F453" s="6" t="str">
        <f>IFERROR(__xludf.DUMMYFUNCTION("""COMPUTED_VALUE"""),"Drama")</f>
        <v>Drama</v>
      </c>
      <c r="G453" s="6">
        <f>IFERROR(__xludf.DUMMYFUNCTION("""COMPUTED_VALUE"""),39.0)</f>
        <v>39</v>
      </c>
      <c r="H453" s="6">
        <f>IFERROR(__xludf.DUMMYFUNCTION("""COMPUTED_VALUE"""),1.0)</f>
        <v>1</v>
      </c>
      <c r="I453" s="6" t="str">
        <f>IFERROR(__xludf.DUMMYFUNCTION("""COMPUTED_VALUE"""),"Smart Tv")</f>
        <v>Smart Tv</v>
      </c>
      <c r="J453" s="6" t="str">
        <f>IFERROR(__xludf.DUMMYFUNCTION("""COMPUTED_VALUE"""),"Usa")</f>
        <v>Usa</v>
      </c>
      <c r="K453" s="6" t="str">
        <f>IFERROR(__xludf.DUMMYFUNCTION("""COMPUTED_VALUE"""),"Basic")</f>
        <v>Basic</v>
      </c>
      <c r="L453" s="6">
        <f>IFERROR(__xludf.DUMMYFUNCTION("""COMPUTED_VALUE"""),0.0)</f>
        <v>0</v>
      </c>
      <c r="M453" s="6" t="str">
        <f>IFERROR(__xludf.DUMMYFUNCTION("""COMPUTED_VALUE"""),"2023-12")</f>
        <v>2023-12</v>
      </c>
    </row>
    <row r="454">
      <c r="A454" s="6" t="str">
        <f>IFERROR(__xludf.DUMMYFUNCTION("""COMPUTED_VALUE"""),"81f8c72f-1481-46b5-949d-81b954d57ee1")</f>
        <v>81f8c72f-1481-46b5-949d-81b954d57ee1</v>
      </c>
      <c r="B454" s="6" t="str">
        <f>IFERROR(__xludf.DUMMYFUNCTION("""COMPUTED_VALUE"""),"cc0ad936-7b33-4e5f-8b00-bc7cb6c3763f")</f>
        <v>cc0ad936-7b33-4e5f-8b00-bc7cb6c3763f</v>
      </c>
      <c r="C454" s="7">
        <f>IFERROR(__xludf.DUMMYFUNCTION("""COMPUTED_VALUE"""),45057.0)</f>
        <v>45057</v>
      </c>
      <c r="D454" s="8">
        <f>IFERROR(__xludf.DUMMYFUNCTION("""COMPUTED_VALUE"""),6.5158388E7)</f>
        <v>65158388</v>
      </c>
      <c r="E454" s="6" t="str">
        <f>IFERROR(__xludf.DUMMYFUNCTION("""COMPUTED_VALUE"""),"MOVIE")</f>
        <v>MOVIE</v>
      </c>
      <c r="F454" s="6" t="str">
        <f>IFERROR(__xludf.DUMMYFUNCTION("""COMPUTED_VALUE"""),"Drama")</f>
        <v>Drama</v>
      </c>
      <c r="G454" s="6">
        <f>IFERROR(__xludf.DUMMYFUNCTION("""COMPUTED_VALUE"""),113.0)</f>
        <v>113</v>
      </c>
      <c r="H454" s="6">
        <f>IFERROR(__xludf.DUMMYFUNCTION("""COMPUTED_VALUE"""),0.0)</f>
        <v>0</v>
      </c>
      <c r="I454" s="6" t="str">
        <f>IFERROR(__xludf.DUMMYFUNCTION("""COMPUTED_VALUE"""),"Mobile")</f>
        <v>Mobile</v>
      </c>
      <c r="J454" s="6" t="str">
        <f>IFERROR(__xludf.DUMMYFUNCTION("""COMPUTED_VALUE"""),"India")</f>
        <v>India</v>
      </c>
      <c r="K454" s="6" t="str">
        <f>IFERROR(__xludf.DUMMYFUNCTION("""COMPUTED_VALUE"""),"Premium")</f>
        <v>Premium</v>
      </c>
      <c r="L454" s="6">
        <f>IFERROR(__xludf.DUMMYFUNCTION("""COMPUTED_VALUE"""),0.0)</f>
        <v>0</v>
      </c>
      <c r="M454" s="6" t="str">
        <f>IFERROR(__xludf.DUMMYFUNCTION("""COMPUTED_VALUE"""),"2023-05")</f>
        <v>2023-05</v>
      </c>
    </row>
    <row r="455">
      <c r="A455" s="6" t="str">
        <f>IFERROR(__xludf.DUMMYFUNCTION("""COMPUTED_VALUE"""),"7c5246f1-8fe5-475b-b771-877e141e39e7")</f>
        <v>7c5246f1-8fe5-475b-b771-877e141e39e7</v>
      </c>
      <c r="B455" s="6" t="str">
        <f>IFERROR(__xludf.DUMMYFUNCTION("""COMPUTED_VALUE"""),"cc7a74ed-7b30-4b72-935a-71939c552fa4")</f>
        <v>cc7a74ed-7b30-4b72-935a-71939c552fa4</v>
      </c>
      <c r="C455" s="7">
        <f>IFERROR(__xludf.DUMMYFUNCTION("""COMPUTED_VALUE"""),45144.0)</f>
        <v>45144</v>
      </c>
      <c r="D455" s="8">
        <f>IFERROR(__xludf.DUMMYFUNCTION("""COMPUTED_VALUE"""),7.4734429E7)</f>
        <v>74734429</v>
      </c>
      <c r="E455" s="6" t="str">
        <f>IFERROR(__xludf.DUMMYFUNCTION("""COMPUTED_VALUE"""),"DOCUMENTARY")</f>
        <v>DOCUMENTARY</v>
      </c>
      <c r="F455" s="6" t="str">
        <f>IFERROR(__xludf.DUMMYFUNCTION("""COMPUTED_VALUE"""),"Sci-Fi")</f>
        <v>Sci-Fi</v>
      </c>
      <c r="G455" s="6">
        <f>IFERROR(__xludf.DUMMYFUNCTION("""COMPUTED_VALUE"""),88.0)</f>
        <v>88</v>
      </c>
      <c r="H455" s="6">
        <f>IFERROR(__xludf.DUMMYFUNCTION("""COMPUTED_VALUE"""),0.0)</f>
        <v>0</v>
      </c>
      <c r="I455" s="6" t="str">
        <f>IFERROR(__xludf.DUMMYFUNCTION("""COMPUTED_VALUE"""),"Desktop")</f>
        <v>Desktop</v>
      </c>
      <c r="J455" s="6" t="str">
        <f>IFERROR(__xludf.DUMMYFUNCTION("""COMPUTED_VALUE"""),"India")</f>
        <v>India</v>
      </c>
      <c r="K455" s="6" t="str">
        <f>IFERROR(__xludf.DUMMYFUNCTION("""COMPUTED_VALUE"""),"Basic")</f>
        <v>Basic</v>
      </c>
      <c r="L455" s="6">
        <f>IFERROR(__xludf.DUMMYFUNCTION("""COMPUTED_VALUE"""),0.0)</f>
        <v>0</v>
      </c>
      <c r="M455" s="6" t="str">
        <f>IFERROR(__xludf.DUMMYFUNCTION("""COMPUTED_VALUE"""),"2023-08")</f>
        <v>2023-08</v>
      </c>
    </row>
    <row r="456">
      <c r="A456" s="6" t="str">
        <f>IFERROR(__xludf.DUMMYFUNCTION("""COMPUTED_VALUE"""),"7b1a7528-7262-4f2d-94b3-85d8d5050eae")</f>
        <v>7b1a7528-7262-4f2d-94b3-85d8d5050eae</v>
      </c>
      <c r="B456" s="6" t="str">
        <f>IFERROR(__xludf.DUMMYFUNCTION("""COMPUTED_VALUE"""),"ccad59fa-3495-4074-8819-c1aa9195d79e")</f>
        <v>ccad59fa-3495-4074-8819-c1aa9195d79e</v>
      </c>
      <c r="C456" s="7">
        <f>IFERROR(__xludf.DUMMYFUNCTION("""COMPUTED_VALUE"""),45285.0)</f>
        <v>45285</v>
      </c>
      <c r="D456" s="8">
        <f>IFERROR(__xludf.DUMMYFUNCTION("""COMPUTED_VALUE"""),5.7805856E7)</f>
        <v>57805856</v>
      </c>
      <c r="E456" s="6" t="str">
        <f>IFERROR(__xludf.DUMMYFUNCTION("""COMPUTED_VALUE"""),"DOCUMENTARY")</f>
        <v>DOCUMENTARY</v>
      </c>
      <c r="F456" s="6" t="str">
        <f>IFERROR(__xludf.DUMMYFUNCTION("""COMPUTED_VALUE"""),"Drama")</f>
        <v>Drama</v>
      </c>
      <c r="G456" s="6">
        <f>IFERROR(__xludf.DUMMYFUNCTION("""COMPUTED_VALUE"""),148.0)</f>
        <v>148</v>
      </c>
      <c r="H456" s="6">
        <f>IFERROR(__xludf.DUMMYFUNCTION("""COMPUTED_VALUE"""),1.0)</f>
        <v>1</v>
      </c>
      <c r="I456" s="6" t="str">
        <f>IFERROR(__xludf.DUMMYFUNCTION("""COMPUTED_VALUE"""),"Tablet")</f>
        <v>Tablet</v>
      </c>
      <c r="J456" s="6" t="str">
        <f>IFERROR(__xludf.DUMMYFUNCTION("""COMPUTED_VALUE"""),"India")</f>
        <v>India</v>
      </c>
      <c r="K456" s="6" t="str">
        <f>IFERROR(__xludf.DUMMYFUNCTION("""COMPUTED_VALUE"""),"Basic")</f>
        <v>Basic</v>
      </c>
      <c r="L456" s="6">
        <f>IFERROR(__xludf.DUMMYFUNCTION("""COMPUTED_VALUE"""),0.0)</f>
        <v>0</v>
      </c>
      <c r="M456" s="6" t="str">
        <f>IFERROR(__xludf.DUMMYFUNCTION("""COMPUTED_VALUE"""),"2023-12")</f>
        <v>2023-12</v>
      </c>
    </row>
    <row r="457">
      <c r="A457" s="6" t="str">
        <f>IFERROR(__xludf.DUMMYFUNCTION("""COMPUTED_VALUE"""),"11c20620-2464-4d5d-a9f9-2bc9b6210bda")</f>
        <v>11c20620-2464-4d5d-a9f9-2bc9b6210bda</v>
      </c>
      <c r="B457" s="6" t="str">
        <f>IFERROR(__xludf.DUMMYFUNCTION("""COMPUTED_VALUE"""),"cce31eb0-b39f-437e-9a93-74b116e1e094")</f>
        <v>cce31eb0-b39f-437e-9a93-74b116e1e094</v>
      </c>
      <c r="C457" s="7">
        <f>IFERROR(__xludf.DUMMYFUNCTION("""COMPUTED_VALUE"""),45270.0)</f>
        <v>45270</v>
      </c>
      <c r="D457" s="8">
        <f>IFERROR(__xludf.DUMMYFUNCTION("""COMPUTED_VALUE"""),4.8520621E7)</f>
        <v>48520621</v>
      </c>
      <c r="E457" s="6" t="str">
        <f>IFERROR(__xludf.DUMMYFUNCTION("""COMPUTED_VALUE"""),"MOVIE")</f>
        <v>MOVIE</v>
      </c>
      <c r="F457" s="6" t="str">
        <f>IFERROR(__xludf.DUMMYFUNCTION("""COMPUTED_VALUE"""),"Comedy")</f>
        <v>Comedy</v>
      </c>
      <c r="G457" s="6">
        <f>IFERROR(__xludf.DUMMYFUNCTION("""COMPUTED_VALUE"""),179.0)</f>
        <v>179</v>
      </c>
      <c r="H457" s="6">
        <f>IFERROR(__xludf.DUMMYFUNCTION("""COMPUTED_VALUE"""),1.0)</f>
        <v>1</v>
      </c>
      <c r="I457" s="6" t="str">
        <f>IFERROR(__xludf.DUMMYFUNCTION("""COMPUTED_VALUE"""),"Tablet")</f>
        <v>Tablet</v>
      </c>
      <c r="J457" s="6" t="str">
        <f>IFERROR(__xludf.DUMMYFUNCTION("""COMPUTED_VALUE"""),"Uk")</f>
        <v>Uk</v>
      </c>
      <c r="K457" s="6" t="str">
        <f>IFERROR(__xludf.DUMMYFUNCTION("""COMPUTED_VALUE"""),"Premium")</f>
        <v>Premium</v>
      </c>
      <c r="L457" s="6">
        <f>IFERROR(__xludf.DUMMYFUNCTION("""COMPUTED_VALUE"""),1.0)</f>
        <v>1</v>
      </c>
      <c r="M457" s="6" t="str">
        <f>IFERROR(__xludf.DUMMYFUNCTION("""COMPUTED_VALUE"""),"2023-12")</f>
        <v>2023-12</v>
      </c>
    </row>
    <row r="458">
      <c r="A458" s="6" t="str">
        <f>IFERROR(__xludf.DUMMYFUNCTION("""COMPUTED_VALUE"""),"c5c11446-58df-4b5f-82db-17dc77dfbe63")</f>
        <v>c5c11446-58df-4b5f-82db-17dc77dfbe63</v>
      </c>
      <c r="B458" s="6" t="str">
        <f>IFERROR(__xludf.DUMMYFUNCTION("""COMPUTED_VALUE"""),"cd97b3c6-0c79-4cb7-b8b1-bfc6b0e76ac7")</f>
        <v>cd97b3c6-0c79-4cb7-b8b1-bfc6b0e76ac7</v>
      </c>
      <c r="C458" s="7">
        <f>IFERROR(__xludf.DUMMYFUNCTION("""COMPUTED_VALUE"""),45021.0)</f>
        <v>45021</v>
      </c>
      <c r="D458" s="8">
        <f>IFERROR(__xludf.DUMMYFUNCTION("""COMPUTED_VALUE"""),3.0278882E7)</f>
        <v>30278882</v>
      </c>
      <c r="E458" s="6" t="str">
        <f>IFERROR(__xludf.DUMMYFUNCTION("""COMPUTED_VALUE"""),"MOVIE")</f>
        <v>MOVIE</v>
      </c>
      <c r="F458" s="6" t="str">
        <f>IFERROR(__xludf.DUMMYFUNCTION("""COMPUTED_VALUE"""),"Drama")</f>
        <v>Drama</v>
      </c>
      <c r="G458" s="6">
        <f>IFERROR(__xludf.DUMMYFUNCTION("""COMPUTED_VALUE"""),178.0)</f>
        <v>178</v>
      </c>
      <c r="H458" s="6">
        <f>IFERROR(__xludf.DUMMYFUNCTION("""COMPUTED_VALUE"""),0.0)</f>
        <v>0</v>
      </c>
      <c r="I458" s="6" t="str">
        <f>IFERROR(__xludf.DUMMYFUNCTION("""COMPUTED_VALUE"""),"Mobile")</f>
        <v>Mobile</v>
      </c>
      <c r="J458" s="6" t="str">
        <f>IFERROR(__xludf.DUMMYFUNCTION("""COMPUTED_VALUE"""),"Germany")</f>
        <v>Germany</v>
      </c>
      <c r="K458" s="6" t="str">
        <f>IFERROR(__xludf.DUMMYFUNCTION("""COMPUTED_VALUE"""),"Premium")</f>
        <v>Premium</v>
      </c>
      <c r="L458" s="6">
        <f>IFERROR(__xludf.DUMMYFUNCTION("""COMPUTED_VALUE"""),0.0)</f>
        <v>0</v>
      </c>
      <c r="M458" s="6" t="str">
        <f>IFERROR(__xludf.DUMMYFUNCTION("""COMPUTED_VALUE"""),"2023-04")</f>
        <v>2023-04</v>
      </c>
    </row>
    <row r="459">
      <c r="A459" s="6" t="str">
        <f>IFERROR(__xludf.DUMMYFUNCTION("""COMPUTED_VALUE"""),"62b7e3e7-57ad-485e-9d38-f988922dcb59")</f>
        <v>62b7e3e7-57ad-485e-9d38-f988922dcb59</v>
      </c>
      <c r="B459" s="6" t="str">
        <f>IFERROR(__xludf.DUMMYFUNCTION("""COMPUTED_VALUE"""),"cdd1ee41-d2f0-44fd-9358-447c333199ac")</f>
        <v>cdd1ee41-d2f0-44fd-9358-447c333199ac</v>
      </c>
      <c r="C459" s="7">
        <f>IFERROR(__xludf.DUMMYFUNCTION("""COMPUTED_VALUE"""),45099.0)</f>
        <v>45099</v>
      </c>
      <c r="D459" s="8">
        <f>IFERROR(__xludf.DUMMYFUNCTION("""COMPUTED_VALUE"""),7.819735E7)</f>
        <v>78197350</v>
      </c>
      <c r="E459" s="6" t="str">
        <f>IFERROR(__xludf.DUMMYFUNCTION("""COMPUTED_VALUE"""),"MOVIE")</f>
        <v>MOVIE</v>
      </c>
      <c r="F459" s="6" t="str">
        <f>IFERROR(__xludf.DUMMYFUNCTION("""COMPUTED_VALUE"""),"Drama")</f>
        <v>Drama</v>
      </c>
      <c r="G459" s="6">
        <f>IFERROR(__xludf.DUMMYFUNCTION("""COMPUTED_VALUE"""),115.0)</f>
        <v>115</v>
      </c>
      <c r="H459" s="6">
        <f>IFERROR(__xludf.DUMMYFUNCTION("""COMPUTED_VALUE"""),0.0)</f>
        <v>0</v>
      </c>
      <c r="I459" s="6" t="str">
        <f>IFERROR(__xludf.DUMMYFUNCTION("""COMPUTED_VALUE"""),"Smart Tv")</f>
        <v>Smart Tv</v>
      </c>
      <c r="J459" s="6" t="str">
        <f>IFERROR(__xludf.DUMMYFUNCTION("""COMPUTED_VALUE"""),"Usa")</f>
        <v>Usa</v>
      </c>
      <c r="K459" s="6" t="str">
        <f>IFERROR(__xludf.DUMMYFUNCTION("""COMPUTED_VALUE"""),"Standard")</f>
        <v>Standard</v>
      </c>
      <c r="L459" s="6">
        <f>IFERROR(__xludf.DUMMYFUNCTION("""COMPUTED_VALUE"""),0.0)</f>
        <v>0</v>
      </c>
      <c r="M459" s="6" t="str">
        <f>IFERROR(__xludf.DUMMYFUNCTION("""COMPUTED_VALUE"""),"2023-06")</f>
        <v>2023-06</v>
      </c>
    </row>
    <row r="460">
      <c r="A460" s="6" t="str">
        <f>IFERROR(__xludf.DUMMYFUNCTION("""COMPUTED_VALUE"""),"804cdee2-b52d-496f-bbd3-c68f905a1a42")</f>
        <v>804cdee2-b52d-496f-bbd3-c68f905a1a42</v>
      </c>
      <c r="B460" s="6" t="str">
        <f>IFERROR(__xludf.DUMMYFUNCTION("""COMPUTED_VALUE"""),"ce742e2f-08fb-43b2-afc8-843c91216fc4")</f>
        <v>ce742e2f-08fb-43b2-afc8-843c91216fc4</v>
      </c>
      <c r="C460" s="7">
        <f>IFERROR(__xludf.DUMMYFUNCTION("""COMPUTED_VALUE"""),45221.0)</f>
        <v>45221</v>
      </c>
      <c r="D460" s="8">
        <f>IFERROR(__xludf.DUMMYFUNCTION("""COMPUTED_VALUE"""),1.2649372E7)</f>
        <v>12649372</v>
      </c>
      <c r="E460" s="6" t="str">
        <f>IFERROR(__xludf.DUMMYFUNCTION("""COMPUTED_VALUE"""),"DOCUMENTARY")</f>
        <v>DOCUMENTARY</v>
      </c>
      <c r="F460" s="6" t="str">
        <f>IFERROR(__xludf.DUMMYFUNCTION("""COMPUTED_VALUE"""),"Thriller")</f>
        <v>Thriller</v>
      </c>
      <c r="G460" s="6">
        <f>IFERROR(__xludf.DUMMYFUNCTION("""COMPUTED_VALUE"""),156.0)</f>
        <v>156</v>
      </c>
      <c r="H460" s="6">
        <f>IFERROR(__xludf.DUMMYFUNCTION("""COMPUTED_VALUE"""),0.0)</f>
        <v>0</v>
      </c>
      <c r="I460" s="6" t="str">
        <f>IFERROR(__xludf.DUMMYFUNCTION("""COMPUTED_VALUE"""),"Smart Tv")</f>
        <v>Smart Tv</v>
      </c>
      <c r="J460" s="6" t="str">
        <f>IFERROR(__xludf.DUMMYFUNCTION("""COMPUTED_VALUE"""),"France")</f>
        <v>France</v>
      </c>
      <c r="K460" s="6" t="str">
        <f>IFERROR(__xludf.DUMMYFUNCTION("""COMPUTED_VALUE"""),"Premium")</f>
        <v>Premium</v>
      </c>
      <c r="L460" s="6">
        <f>IFERROR(__xludf.DUMMYFUNCTION("""COMPUTED_VALUE"""),0.0)</f>
        <v>0</v>
      </c>
      <c r="M460" s="6" t="str">
        <f>IFERROR(__xludf.DUMMYFUNCTION("""COMPUTED_VALUE"""),"2023-10")</f>
        <v>2023-10</v>
      </c>
    </row>
    <row r="461">
      <c r="A461" s="6" t="str">
        <f>IFERROR(__xludf.DUMMYFUNCTION("""COMPUTED_VALUE"""),"91b2dc2c-b261-42e2-b2d9-a36e2174cdce")</f>
        <v>91b2dc2c-b261-42e2-b2d9-a36e2174cdce</v>
      </c>
      <c r="B461" s="6" t="str">
        <f>IFERROR(__xludf.DUMMYFUNCTION("""COMPUTED_VALUE"""),"ceaf5159-ffd5-4b2e-a52c-cbaedc8b970e")</f>
        <v>ceaf5159-ffd5-4b2e-a52c-cbaedc8b970e</v>
      </c>
      <c r="C461" s="7">
        <f>IFERROR(__xludf.DUMMYFUNCTION("""COMPUTED_VALUE"""),45047.0)</f>
        <v>45047</v>
      </c>
      <c r="D461" s="8">
        <f>IFERROR(__xludf.DUMMYFUNCTION("""COMPUTED_VALUE"""),2.1534416E7)</f>
        <v>21534416</v>
      </c>
      <c r="E461" s="6" t="str">
        <f>IFERROR(__xludf.DUMMYFUNCTION("""COMPUTED_VALUE"""),"DOCUMENTARY")</f>
        <v>DOCUMENTARY</v>
      </c>
      <c r="F461" s="6" t="str">
        <f>IFERROR(__xludf.DUMMYFUNCTION("""COMPUTED_VALUE"""),"Comedy")</f>
        <v>Comedy</v>
      </c>
      <c r="G461" s="6">
        <f>IFERROR(__xludf.DUMMYFUNCTION("""COMPUTED_VALUE"""),102.0)</f>
        <v>102</v>
      </c>
      <c r="H461" s="6">
        <f>IFERROR(__xludf.DUMMYFUNCTION("""COMPUTED_VALUE"""),1.0)</f>
        <v>1</v>
      </c>
      <c r="I461" s="6" t="str">
        <f>IFERROR(__xludf.DUMMYFUNCTION("""COMPUTED_VALUE"""),"Tablet")</f>
        <v>Tablet</v>
      </c>
      <c r="J461" s="6" t="str">
        <f>IFERROR(__xludf.DUMMYFUNCTION("""COMPUTED_VALUE"""),"Germany")</f>
        <v>Germany</v>
      </c>
      <c r="K461" s="6" t="str">
        <f>IFERROR(__xludf.DUMMYFUNCTION("""COMPUTED_VALUE"""),"Basic")</f>
        <v>Basic</v>
      </c>
      <c r="L461" s="6">
        <f>IFERROR(__xludf.DUMMYFUNCTION("""COMPUTED_VALUE"""),0.0)</f>
        <v>0</v>
      </c>
      <c r="M461" s="6" t="str">
        <f>IFERROR(__xludf.DUMMYFUNCTION("""COMPUTED_VALUE"""),"2023-05")</f>
        <v>2023-05</v>
      </c>
    </row>
    <row r="462">
      <c r="A462" s="6" t="str">
        <f>IFERROR(__xludf.DUMMYFUNCTION("""COMPUTED_VALUE"""),"997916e0-685c-4595-8244-052ce7c11cf1")</f>
        <v>997916e0-685c-4595-8244-052ce7c11cf1</v>
      </c>
      <c r="B462" s="6" t="str">
        <f>IFERROR(__xludf.DUMMYFUNCTION("""COMPUTED_VALUE"""),"ced29e97-7a00-4e2c-8a67-b07491c8aa21")</f>
        <v>ced29e97-7a00-4e2c-8a67-b07491c8aa21</v>
      </c>
      <c r="C462" s="7">
        <f>IFERROR(__xludf.DUMMYFUNCTION("""COMPUTED_VALUE"""),44953.0)</f>
        <v>44953</v>
      </c>
      <c r="D462" s="8">
        <f>IFERROR(__xludf.DUMMYFUNCTION("""COMPUTED_VALUE"""),3.3885476E7)</f>
        <v>33885476</v>
      </c>
      <c r="E462" s="6" t="str">
        <f>IFERROR(__xludf.DUMMYFUNCTION("""COMPUTED_VALUE"""),"MOVIE")</f>
        <v>MOVIE</v>
      </c>
      <c r="F462" s="6" t="str">
        <f>IFERROR(__xludf.DUMMYFUNCTION("""COMPUTED_VALUE"""),"Comedy")</f>
        <v>Comedy</v>
      </c>
      <c r="G462" s="6">
        <f>IFERROR(__xludf.DUMMYFUNCTION("""COMPUTED_VALUE"""),111.0)</f>
        <v>111</v>
      </c>
      <c r="H462" s="6">
        <f>IFERROR(__xludf.DUMMYFUNCTION("""COMPUTED_VALUE"""),0.0)</f>
        <v>0</v>
      </c>
      <c r="I462" s="6" t="str">
        <f>IFERROR(__xludf.DUMMYFUNCTION("""COMPUTED_VALUE"""),"Mobile")</f>
        <v>Mobile</v>
      </c>
      <c r="J462" s="6" t="str">
        <f>IFERROR(__xludf.DUMMYFUNCTION("""COMPUTED_VALUE"""),"France")</f>
        <v>France</v>
      </c>
      <c r="K462" s="6" t="str">
        <f>IFERROR(__xludf.DUMMYFUNCTION("""COMPUTED_VALUE"""),"Premium")</f>
        <v>Premium</v>
      </c>
      <c r="L462" s="6">
        <f>IFERROR(__xludf.DUMMYFUNCTION("""COMPUTED_VALUE"""),0.0)</f>
        <v>0</v>
      </c>
      <c r="M462" s="6" t="str">
        <f>IFERROR(__xludf.DUMMYFUNCTION("""COMPUTED_VALUE"""),"2023-01")</f>
        <v>2023-01</v>
      </c>
    </row>
    <row r="463">
      <c r="A463" s="6" t="str">
        <f>IFERROR(__xludf.DUMMYFUNCTION("""COMPUTED_VALUE"""),"9fd5239e-77f6-4f4e-bd4b-353d6f2363a4")</f>
        <v>9fd5239e-77f6-4f4e-bd4b-353d6f2363a4</v>
      </c>
      <c r="B463" s="6" t="str">
        <f>IFERROR(__xludf.DUMMYFUNCTION("""COMPUTED_VALUE"""),"cef3adf4-6ba5-415e-89fc-ba056171d3cd")</f>
        <v>cef3adf4-6ba5-415e-89fc-ba056171d3cd</v>
      </c>
      <c r="C463" s="7">
        <f>IFERROR(__xludf.DUMMYFUNCTION("""COMPUTED_VALUE"""),45206.0)</f>
        <v>45206</v>
      </c>
      <c r="D463" s="8">
        <f>IFERROR(__xludf.DUMMYFUNCTION("""COMPUTED_VALUE"""),2.1498701E7)</f>
        <v>21498701</v>
      </c>
      <c r="E463" s="6" t="str">
        <f>IFERROR(__xludf.DUMMYFUNCTION("""COMPUTED_VALUE"""),"MOVIE")</f>
        <v>MOVIE</v>
      </c>
      <c r="F463" s="6" t="str">
        <f>IFERROR(__xludf.DUMMYFUNCTION("""COMPUTED_VALUE"""),"Drama")</f>
        <v>Drama</v>
      </c>
      <c r="G463" s="6">
        <f>IFERROR(__xludf.DUMMYFUNCTION("""COMPUTED_VALUE"""),128.0)</f>
        <v>128</v>
      </c>
      <c r="H463" s="6">
        <f>IFERROR(__xludf.DUMMYFUNCTION("""COMPUTED_VALUE"""),1.0)</f>
        <v>1</v>
      </c>
      <c r="I463" s="6" t="str">
        <f>IFERROR(__xludf.DUMMYFUNCTION("""COMPUTED_VALUE"""),"Mobile")</f>
        <v>Mobile</v>
      </c>
      <c r="J463" s="6" t="str">
        <f>IFERROR(__xludf.DUMMYFUNCTION("""COMPUTED_VALUE"""),"France")</f>
        <v>France</v>
      </c>
      <c r="K463" s="6" t="str">
        <f>IFERROR(__xludf.DUMMYFUNCTION("""COMPUTED_VALUE"""),"Premium")</f>
        <v>Premium</v>
      </c>
      <c r="L463" s="6">
        <f>IFERROR(__xludf.DUMMYFUNCTION("""COMPUTED_VALUE"""),0.0)</f>
        <v>0</v>
      </c>
      <c r="M463" s="6" t="str">
        <f>IFERROR(__xludf.DUMMYFUNCTION("""COMPUTED_VALUE"""),"2023-10")</f>
        <v>2023-10</v>
      </c>
    </row>
    <row r="464">
      <c r="A464" s="6" t="str">
        <f>IFERROR(__xludf.DUMMYFUNCTION("""COMPUTED_VALUE"""),"977f500b-5e2a-4857-a558-abe17fc8c2e7")</f>
        <v>977f500b-5e2a-4857-a558-abe17fc8c2e7</v>
      </c>
      <c r="B464" s="6" t="str">
        <f>IFERROR(__xludf.DUMMYFUNCTION("""COMPUTED_VALUE"""),"cfcfd418-da7f-42c1-ac5b-a7027f847918")</f>
        <v>cfcfd418-da7f-42c1-ac5b-a7027f847918</v>
      </c>
      <c r="C464" s="7">
        <f>IFERROR(__xludf.DUMMYFUNCTION("""COMPUTED_VALUE"""),45012.0)</f>
        <v>45012</v>
      </c>
      <c r="D464" s="8">
        <f>IFERROR(__xludf.DUMMYFUNCTION("""COMPUTED_VALUE"""),8.132248E7)</f>
        <v>81322480</v>
      </c>
      <c r="E464" s="6" t="str">
        <f>IFERROR(__xludf.DUMMYFUNCTION("""COMPUTED_VALUE"""),"DOCUMENTARY")</f>
        <v>DOCUMENTARY</v>
      </c>
      <c r="F464" s="6" t="str">
        <f>IFERROR(__xludf.DUMMYFUNCTION("""COMPUTED_VALUE"""),"Comedy")</f>
        <v>Comedy</v>
      </c>
      <c r="G464" s="6">
        <f>IFERROR(__xludf.DUMMYFUNCTION("""COMPUTED_VALUE"""),77.0)</f>
        <v>77</v>
      </c>
      <c r="H464" s="6">
        <f>IFERROR(__xludf.DUMMYFUNCTION("""COMPUTED_VALUE"""),0.0)</f>
        <v>0</v>
      </c>
      <c r="I464" s="6" t="str">
        <f>IFERROR(__xludf.DUMMYFUNCTION("""COMPUTED_VALUE"""),"Desktop")</f>
        <v>Desktop</v>
      </c>
      <c r="J464" s="6" t="str">
        <f>IFERROR(__xludf.DUMMYFUNCTION("""COMPUTED_VALUE"""),"Germany")</f>
        <v>Germany</v>
      </c>
      <c r="K464" s="6" t="str">
        <f>IFERROR(__xludf.DUMMYFUNCTION("""COMPUTED_VALUE"""),"Basic")</f>
        <v>Basic</v>
      </c>
      <c r="L464" s="6">
        <f>IFERROR(__xludf.DUMMYFUNCTION("""COMPUTED_VALUE"""),0.0)</f>
        <v>0</v>
      </c>
      <c r="M464" s="6" t="str">
        <f>IFERROR(__xludf.DUMMYFUNCTION("""COMPUTED_VALUE"""),"2023-03")</f>
        <v>2023-03</v>
      </c>
    </row>
    <row r="465">
      <c r="A465" s="6" t="str">
        <f>IFERROR(__xludf.DUMMYFUNCTION("""COMPUTED_VALUE"""),"c402bb0e-b2f9-404b-9e28-00bec0f2b58b")</f>
        <v>c402bb0e-b2f9-404b-9e28-00bec0f2b58b</v>
      </c>
      <c r="B465" s="6" t="str">
        <f>IFERROR(__xludf.DUMMYFUNCTION("""COMPUTED_VALUE"""),"d097e0fb-4677-4407-80c6-78b73eb9949c")</f>
        <v>d097e0fb-4677-4407-80c6-78b73eb9949c</v>
      </c>
      <c r="C465" s="7">
        <f>IFERROR(__xludf.DUMMYFUNCTION("""COMPUTED_VALUE"""),45167.0)</f>
        <v>45167</v>
      </c>
      <c r="D465" s="8">
        <f>IFERROR(__xludf.DUMMYFUNCTION("""COMPUTED_VALUE"""),7.5789398E7)</f>
        <v>75789398</v>
      </c>
      <c r="E465" s="6" t="str">
        <f>IFERROR(__xludf.DUMMYFUNCTION("""COMPUTED_VALUE"""),"MOVIE")</f>
        <v>MOVIE</v>
      </c>
      <c r="F465" s="6" t="str">
        <f>IFERROR(__xludf.DUMMYFUNCTION("""COMPUTED_VALUE"""),"Sci-Fi")</f>
        <v>Sci-Fi</v>
      </c>
      <c r="G465" s="6">
        <f>IFERROR(__xludf.DUMMYFUNCTION("""COMPUTED_VALUE"""),163.0)</f>
        <v>163</v>
      </c>
      <c r="H465" s="6">
        <f>IFERROR(__xludf.DUMMYFUNCTION("""COMPUTED_VALUE"""),1.0)</f>
        <v>1</v>
      </c>
      <c r="I465" s="6" t="str">
        <f>IFERROR(__xludf.DUMMYFUNCTION("""COMPUTED_VALUE"""),"Tablet")</f>
        <v>Tablet</v>
      </c>
      <c r="J465" s="6" t="str">
        <f>IFERROR(__xludf.DUMMYFUNCTION("""COMPUTED_VALUE"""),"India")</f>
        <v>India</v>
      </c>
      <c r="K465" s="6" t="str">
        <f>IFERROR(__xludf.DUMMYFUNCTION("""COMPUTED_VALUE"""),"Basic")</f>
        <v>Basic</v>
      </c>
      <c r="L465" s="6">
        <f>IFERROR(__xludf.DUMMYFUNCTION("""COMPUTED_VALUE"""),0.0)</f>
        <v>0</v>
      </c>
      <c r="M465" s="6" t="str">
        <f>IFERROR(__xludf.DUMMYFUNCTION("""COMPUTED_VALUE"""),"2023-08")</f>
        <v>2023-08</v>
      </c>
    </row>
    <row r="466">
      <c r="A466" s="6" t="str">
        <f>IFERROR(__xludf.DUMMYFUNCTION("""COMPUTED_VALUE"""),"68bb7758-eead-4250-a2dd-cca82eb89481")</f>
        <v>68bb7758-eead-4250-a2dd-cca82eb89481</v>
      </c>
      <c r="B466" s="6" t="str">
        <f>IFERROR(__xludf.DUMMYFUNCTION("""COMPUTED_VALUE"""),"d12646a0-87e2-46d3-9a62-f533cebfaef0")</f>
        <v>d12646a0-87e2-46d3-9a62-f533cebfaef0</v>
      </c>
      <c r="C466" s="7">
        <f>IFERROR(__xludf.DUMMYFUNCTION("""COMPUTED_VALUE"""),45141.0)</f>
        <v>45141</v>
      </c>
      <c r="D466" s="8">
        <f>IFERROR(__xludf.DUMMYFUNCTION("""COMPUTED_VALUE"""),3.0302235E7)</f>
        <v>30302235</v>
      </c>
      <c r="E466" s="6" t="str">
        <f>IFERROR(__xludf.DUMMYFUNCTION("""COMPUTED_VALUE"""),"SERIES")</f>
        <v>SERIES</v>
      </c>
      <c r="F466" s="6" t="str">
        <f>IFERROR(__xludf.DUMMYFUNCTION("""COMPUTED_VALUE"""),"Thriller")</f>
        <v>Thriller</v>
      </c>
      <c r="G466" s="6">
        <f>IFERROR(__xludf.DUMMYFUNCTION("""COMPUTED_VALUE"""),172.0)</f>
        <v>172</v>
      </c>
      <c r="H466" s="6">
        <f>IFERROR(__xludf.DUMMYFUNCTION("""COMPUTED_VALUE"""),1.0)</f>
        <v>1</v>
      </c>
      <c r="I466" s="6" t="str">
        <f>IFERROR(__xludf.DUMMYFUNCTION("""COMPUTED_VALUE"""),"Desktop")</f>
        <v>Desktop</v>
      </c>
      <c r="J466" s="6" t="str">
        <f>IFERROR(__xludf.DUMMYFUNCTION("""COMPUTED_VALUE"""),"Germany")</f>
        <v>Germany</v>
      </c>
      <c r="K466" s="6" t="str">
        <f>IFERROR(__xludf.DUMMYFUNCTION("""COMPUTED_VALUE"""),"Standard")</f>
        <v>Standard</v>
      </c>
      <c r="L466" s="6">
        <f>IFERROR(__xludf.DUMMYFUNCTION("""COMPUTED_VALUE"""),0.0)</f>
        <v>0</v>
      </c>
      <c r="M466" s="6" t="str">
        <f>IFERROR(__xludf.DUMMYFUNCTION("""COMPUTED_VALUE"""),"2023-08")</f>
        <v>2023-08</v>
      </c>
    </row>
    <row r="467">
      <c r="A467" s="6" t="str">
        <f>IFERROR(__xludf.DUMMYFUNCTION("""COMPUTED_VALUE"""),"45d33f09-78df-4adf-a9ac-3942bb2c3947")</f>
        <v>45d33f09-78df-4adf-a9ac-3942bb2c3947</v>
      </c>
      <c r="B467" s="6" t="str">
        <f>IFERROR(__xludf.DUMMYFUNCTION("""COMPUTED_VALUE"""),"d12782f1-cf85-4031-b6c7-e6ce55ed14fd")</f>
        <v>d12782f1-cf85-4031-b6c7-e6ce55ed14fd</v>
      </c>
      <c r="C467" s="7">
        <f>IFERROR(__xludf.DUMMYFUNCTION("""COMPUTED_VALUE"""),45182.0)</f>
        <v>45182</v>
      </c>
      <c r="D467" s="8">
        <f>IFERROR(__xludf.DUMMYFUNCTION("""COMPUTED_VALUE"""),2.2367938E7)</f>
        <v>22367938</v>
      </c>
      <c r="E467" s="6" t="str">
        <f>IFERROR(__xludf.DUMMYFUNCTION("""COMPUTED_VALUE"""),"SERIES")</f>
        <v>SERIES</v>
      </c>
      <c r="F467" s="6" t="str">
        <f>IFERROR(__xludf.DUMMYFUNCTION("""COMPUTED_VALUE"""),"Comedy")</f>
        <v>Comedy</v>
      </c>
      <c r="G467" s="6">
        <f>IFERROR(__xludf.DUMMYFUNCTION("""COMPUTED_VALUE"""),92.0)</f>
        <v>92</v>
      </c>
      <c r="H467" s="6">
        <f>IFERROR(__xludf.DUMMYFUNCTION("""COMPUTED_VALUE"""),1.0)</f>
        <v>1</v>
      </c>
      <c r="I467" s="6" t="str">
        <f>IFERROR(__xludf.DUMMYFUNCTION("""COMPUTED_VALUE"""),"Tablet")</f>
        <v>Tablet</v>
      </c>
      <c r="J467" s="6" t="str">
        <f>IFERROR(__xludf.DUMMYFUNCTION("""COMPUTED_VALUE"""),"Usa")</f>
        <v>Usa</v>
      </c>
      <c r="K467" s="6" t="str">
        <f>IFERROR(__xludf.DUMMYFUNCTION("""COMPUTED_VALUE"""),"Basic")</f>
        <v>Basic</v>
      </c>
      <c r="L467" s="6">
        <f>IFERROR(__xludf.DUMMYFUNCTION("""COMPUTED_VALUE"""),0.0)</f>
        <v>0</v>
      </c>
      <c r="M467" s="6" t="str">
        <f>IFERROR(__xludf.DUMMYFUNCTION("""COMPUTED_VALUE"""),"2023-09")</f>
        <v>2023-09</v>
      </c>
    </row>
    <row r="468">
      <c r="A468" s="6" t="str">
        <f>IFERROR(__xludf.DUMMYFUNCTION("""COMPUTED_VALUE"""),"3a84b7ac-adf6-4adc-b73e-0acd0e28d9cd")</f>
        <v>3a84b7ac-adf6-4adc-b73e-0acd0e28d9cd</v>
      </c>
      <c r="B468" s="6" t="str">
        <f>IFERROR(__xludf.DUMMYFUNCTION("""COMPUTED_VALUE"""),"d15b83f0-2149-4f67-9c86-29e2787c4a51")</f>
        <v>d15b83f0-2149-4f67-9c86-29e2787c4a51</v>
      </c>
      <c r="C468" s="7">
        <f>IFERROR(__xludf.DUMMYFUNCTION("""COMPUTED_VALUE"""),45147.0)</f>
        <v>45147</v>
      </c>
      <c r="D468" s="8">
        <f>IFERROR(__xludf.DUMMYFUNCTION("""COMPUTED_VALUE"""),9.913121E7)</f>
        <v>99131210</v>
      </c>
      <c r="E468" s="6" t="str">
        <f>IFERROR(__xludf.DUMMYFUNCTION("""COMPUTED_VALUE"""),"DOCUMENTARY")</f>
        <v>DOCUMENTARY</v>
      </c>
      <c r="F468" s="6" t="str">
        <f>IFERROR(__xludf.DUMMYFUNCTION("""COMPUTED_VALUE"""),"Action")</f>
        <v>Action</v>
      </c>
      <c r="G468" s="6">
        <f>IFERROR(__xludf.DUMMYFUNCTION("""COMPUTED_VALUE"""),160.0)</f>
        <v>160</v>
      </c>
      <c r="H468" s="6">
        <f>IFERROR(__xludf.DUMMYFUNCTION("""COMPUTED_VALUE"""),1.0)</f>
        <v>1</v>
      </c>
      <c r="I468" s="6" t="str">
        <f>IFERROR(__xludf.DUMMYFUNCTION("""COMPUTED_VALUE"""),"Mobile")</f>
        <v>Mobile</v>
      </c>
      <c r="J468" s="6" t="str">
        <f>IFERROR(__xludf.DUMMYFUNCTION("""COMPUTED_VALUE"""),"Germany")</f>
        <v>Germany</v>
      </c>
      <c r="K468" s="6" t="str">
        <f>IFERROR(__xludf.DUMMYFUNCTION("""COMPUTED_VALUE"""),"Standard")</f>
        <v>Standard</v>
      </c>
      <c r="L468" s="6">
        <f>IFERROR(__xludf.DUMMYFUNCTION("""COMPUTED_VALUE"""),0.0)</f>
        <v>0</v>
      </c>
      <c r="M468" s="6" t="str">
        <f>IFERROR(__xludf.DUMMYFUNCTION("""COMPUTED_VALUE"""),"2023-08")</f>
        <v>2023-08</v>
      </c>
    </row>
    <row r="469">
      <c r="A469" s="6" t="str">
        <f>IFERROR(__xludf.DUMMYFUNCTION("""COMPUTED_VALUE"""),"f0991088-4a2f-47e2-9cb7-378332657763")</f>
        <v>f0991088-4a2f-47e2-9cb7-378332657763</v>
      </c>
      <c r="B469" s="6" t="str">
        <f>IFERROR(__xludf.DUMMYFUNCTION("""COMPUTED_VALUE"""),"d18f88db-1f1c-45de-b4c5-53118178115c")</f>
        <v>d18f88db-1f1c-45de-b4c5-53118178115c</v>
      </c>
      <c r="C469" s="7">
        <f>IFERROR(__xludf.DUMMYFUNCTION("""COMPUTED_VALUE"""),44957.0)</f>
        <v>44957</v>
      </c>
      <c r="D469" s="8">
        <f>IFERROR(__xludf.DUMMYFUNCTION("""COMPUTED_VALUE"""),7.0083606E7)</f>
        <v>70083606</v>
      </c>
      <c r="E469" s="6" t="str">
        <f>IFERROR(__xludf.DUMMYFUNCTION("""COMPUTED_VALUE"""),"DOCUMENTARY")</f>
        <v>DOCUMENTARY</v>
      </c>
      <c r="F469" s="6" t="str">
        <f>IFERROR(__xludf.DUMMYFUNCTION("""COMPUTED_VALUE"""),"Comedy")</f>
        <v>Comedy</v>
      </c>
      <c r="G469" s="6">
        <f>IFERROR(__xludf.DUMMYFUNCTION("""COMPUTED_VALUE"""),11.0)</f>
        <v>11</v>
      </c>
      <c r="H469" s="6">
        <f>IFERROR(__xludf.DUMMYFUNCTION("""COMPUTED_VALUE"""),1.0)</f>
        <v>1</v>
      </c>
      <c r="I469" s="6" t="str">
        <f>IFERROR(__xludf.DUMMYFUNCTION("""COMPUTED_VALUE"""),"Tablet")</f>
        <v>Tablet</v>
      </c>
      <c r="J469" s="6" t="str">
        <f>IFERROR(__xludf.DUMMYFUNCTION("""COMPUTED_VALUE"""),"Germany")</f>
        <v>Germany</v>
      </c>
      <c r="K469" s="6" t="str">
        <f>IFERROR(__xludf.DUMMYFUNCTION("""COMPUTED_VALUE"""),"Premium")</f>
        <v>Premium</v>
      </c>
      <c r="L469" s="6">
        <f>IFERROR(__xludf.DUMMYFUNCTION("""COMPUTED_VALUE"""),1.0)</f>
        <v>1</v>
      </c>
      <c r="M469" s="6" t="str">
        <f>IFERROR(__xludf.DUMMYFUNCTION("""COMPUTED_VALUE"""),"2023-01")</f>
        <v>2023-01</v>
      </c>
    </row>
    <row r="470">
      <c r="A470" s="6" t="str">
        <f>IFERROR(__xludf.DUMMYFUNCTION("""COMPUTED_VALUE"""),"d673fdfb-cbcc-4da5-9653-a80bb6c41e79")</f>
        <v>d673fdfb-cbcc-4da5-9653-a80bb6c41e79</v>
      </c>
      <c r="B470" s="6" t="str">
        <f>IFERROR(__xludf.DUMMYFUNCTION("""COMPUTED_VALUE"""),"d1f80d45-5237-4c42-b88e-e0804299d7f4")</f>
        <v>d1f80d45-5237-4c42-b88e-e0804299d7f4</v>
      </c>
      <c r="C470" s="7">
        <f>IFERROR(__xludf.DUMMYFUNCTION("""COMPUTED_VALUE"""),45176.0)</f>
        <v>45176</v>
      </c>
      <c r="D470" s="8">
        <f>IFERROR(__xludf.DUMMYFUNCTION("""COMPUTED_VALUE"""),5.9130536E7)</f>
        <v>59130536</v>
      </c>
      <c r="E470" s="6" t="str">
        <f>IFERROR(__xludf.DUMMYFUNCTION("""COMPUTED_VALUE"""),"SERIES")</f>
        <v>SERIES</v>
      </c>
      <c r="F470" s="6" t="str">
        <f>IFERROR(__xludf.DUMMYFUNCTION("""COMPUTED_VALUE"""),"Drama")</f>
        <v>Drama</v>
      </c>
      <c r="G470" s="6">
        <f>IFERROR(__xludf.DUMMYFUNCTION("""COMPUTED_VALUE"""),132.0)</f>
        <v>132</v>
      </c>
      <c r="H470" s="6">
        <f>IFERROR(__xludf.DUMMYFUNCTION("""COMPUTED_VALUE"""),0.0)</f>
        <v>0</v>
      </c>
      <c r="I470" s="6" t="str">
        <f>IFERROR(__xludf.DUMMYFUNCTION("""COMPUTED_VALUE"""),"Tablet")</f>
        <v>Tablet</v>
      </c>
      <c r="J470" s="6" t="str">
        <f>IFERROR(__xludf.DUMMYFUNCTION("""COMPUTED_VALUE"""),"Uk")</f>
        <v>Uk</v>
      </c>
      <c r="K470" s="6" t="str">
        <f>IFERROR(__xludf.DUMMYFUNCTION("""COMPUTED_VALUE"""),"Standard")</f>
        <v>Standard</v>
      </c>
      <c r="L470" s="6">
        <f>IFERROR(__xludf.DUMMYFUNCTION("""COMPUTED_VALUE"""),0.0)</f>
        <v>0</v>
      </c>
      <c r="M470" s="6" t="str">
        <f>IFERROR(__xludf.DUMMYFUNCTION("""COMPUTED_VALUE"""),"2023-09")</f>
        <v>2023-09</v>
      </c>
    </row>
    <row r="471">
      <c r="A471" s="6" t="str">
        <f>IFERROR(__xludf.DUMMYFUNCTION("""COMPUTED_VALUE"""),"2fd184fc-08de-49a9-822f-e37dc8a7cea0")</f>
        <v>2fd184fc-08de-49a9-822f-e37dc8a7cea0</v>
      </c>
      <c r="B471" s="6" t="str">
        <f>IFERROR(__xludf.DUMMYFUNCTION("""COMPUTED_VALUE"""),"d3e4830d-aa8c-4982-9c2e-f1d87e279a25")</f>
        <v>d3e4830d-aa8c-4982-9c2e-f1d87e279a25</v>
      </c>
      <c r="C471" s="7">
        <f>IFERROR(__xludf.DUMMYFUNCTION("""COMPUTED_VALUE"""),45210.0)</f>
        <v>45210</v>
      </c>
      <c r="D471" s="8">
        <f>IFERROR(__xludf.DUMMYFUNCTION("""COMPUTED_VALUE"""),5.9369233E7)</f>
        <v>59369233</v>
      </c>
      <c r="E471" s="6" t="str">
        <f>IFERROR(__xludf.DUMMYFUNCTION("""COMPUTED_VALUE"""),"SERIES")</f>
        <v>SERIES</v>
      </c>
      <c r="F471" s="6" t="str">
        <f>IFERROR(__xludf.DUMMYFUNCTION("""COMPUTED_VALUE"""),"Thriller")</f>
        <v>Thriller</v>
      </c>
      <c r="G471" s="6">
        <f>IFERROR(__xludf.DUMMYFUNCTION("""COMPUTED_VALUE"""),168.0)</f>
        <v>168</v>
      </c>
      <c r="H471" s="6">
        <f>IFERROR(__xludf.DUMMYFUNCTION("""COMPUTED_VALUE"""),1.0)</f>
        <v>1</v>
      </c>
      <c r="I471" s="6" t="str">
        <f>IFERROR(__xludf.DUMMYFUNCTION("""COMPUTED_VALUE"""),"Desktop")</f>
        <v>Desktop</v>
      </c>
      <c r="J471" s="6" t="str">
        <f>IFERROR(__xludf.DUMMYFUNCTION("""COMPUTED_VALUE"""),"Uk")</f>
        <v>Uk</v>
      </c>
      <c r="K471" s="6" t="str">
        <f>IFERROR(__xludf.DUMMYFUNCTION("""COMPUTED_VALUE"""),"Basic")</f>
        <v>Basic</v>
      </c>
      <c r="L471" s="6">
        <f>IFERROR(__xludf.DUMMYFUNCTION("""COMPUTED_VALUE"""),1.0)</f>
        <v>1</v>
      </c>
      <c r="M471" s="6" t="str">
        <f>IFERROR(__xludf.DUMMYFUNCTION("""COMPUTED_VALUE"""),"2023-10")</f>
        <v>2023-10</v>
      </c>
    </row>
    <row r="472">
      <c r="A472" s="6" t="str">
        <f>IFERROR(__xludf.DUMMYFUNCTION("""COMPUTED_VALUE"""),"74cf7701-c7ce-4878-8811-16e5a4c0dde0")</f>
        <v>74cf7701-c7ce-4878-8811-16e5a4c0dde0</v>
      </c>
      <c r="B472" s="6" t="str">
        <f>IFERROR(__xludf.DUMMYFUNCTION("""COMPUTED_VALUE"""),"d3fa4235-ccb9-4f91-94d0-6004429031ce")</f>
        <v>d3fa4235-ccb9-4f91-94d0-6004429031ce</v>
      </c>
      <c r="C472" s="7">
        <f>IFERROR(__xludf.DUMMYFUNCTION("""COMPUTED_VALUE"""),45052.0)</f>
        <v>45052</v>
      </c>
      <c r="D472" s="8">
        <f>IFERROR(__xludf.DUMMYFUNCTION("""COMPUTED_VALUE"""),4138037.0)</f>
        <v>4138037</v>
      </c>
      <c r="E472" s="6" t="str">
        <f>IFERROR(__xludf.DUMMYFUNCTION("""COMPUTED_VALUE"""),"DOCUMENTARY")</f>
        <v>DOCUMENTARY</v>
      </c>
      <c r="F472" s="6" t="str">
        <f>IFERROR(__xludf.DUMMYFUNCTION("""COMPUTED_VALUE"""),"Thriller")</f>
        <v>Thriller</v>
      </c>
      <c r="G472" s="6">
        <f>IFERROR(__xludf.DUMMYFUNCTION("""COMPUTED_VALUE"""),70.0)</f>
        <v>70</v>
      </c>
      <c r="H472" s="6">
        <f>IFERROR(__xludf.DUMMYFUNCTION("""COMPUTED_VALUE"""),0.0)</f>
        <v>0</v>
      </c>
      <c r="I472" s="6" t="str">
        <f>IFERROR(__xludf.DUMMYFUNCTION("""COMPUTED_VALUE"""),"Smart Tv")</f>
        <v>Smart Tv</v>
      </c>
      <c r="J472" s="6" t="str">
        <f>IFERROR(__xludf.DUMMYFUNCTION("""COMPUTED_VALUE"""),"India")</f>
        <v>India</v>
      </c>
      <c r="K472" s="6" t="str">
        <f>IFERROR(__xludf.DUMMYFUNCTION("""COMPUTED_VALUE"""),"Premium")</f>
        <v>Premium</v>
      </c>
      <c r="L472" s="6">
        <f>IFERROR(__xludf.DUMMYFUNCTION("""COMPUTED_VALUE"""),0.0)</f>
        <v>0</v>
      </c>
      <c r="M472" s="6" t="str">
        <f>IFERROR(__xludf.DUMMYFUNCTION("""COMPUTED_VALUE"""),"2023-05")</f>
        <v>2023-05</v>
      </c>
    </row>
    <row r="473">
      <c r="A473" s="6" t="str">
        <f>IFERROR(__xludf.DUMMYFUNCTION("""COMPUTED_VALUE"""),"5b88b1fd-1192-4e49-bf5b-7985c0c8489e")</f>
        <v>5b88b1fd-1192-4e49-bf5b-7985c0c8489e</v>
      </c>
      <c r="B473" s="6" t="str">
        <f>IFERROR(__xludf.DUMMYFUNCTION("""COMPUTED_VALUE"""),"d43e3a5f-8731-4c71-ac6b-a4f34620fa42")</f>
        <v>d43e3a5f-8731-4c71-ac6b-a4f34620fa42</v>
      </c>
      <c r="C473" s="7">
        <f>IFERROR(__xludf.DUMMYFUNCTION("""COMPUTED_VALUE"""),45100.0)</f>
        <v>45100</v>
      </c>
      <c r="D473" s="8">
        <f>IFERROR(__xludf.DUMMYFUNCTION("""COMPUTED_VALUE"""),1.2190669E7)</f>
        <v>12190669</v>
      </c>
      <c r="E473" s="6" t="str">
        <f>IFERROR(__xludf.DUMMYFUNCTION("""COMPUTED_VALUE"""),"SERIES")</f>
        <v>SERIES</v>
      </c>
      <c r="F473" s="6" t="str">
        <f>IFERROR(__xludf.DUMMYFUNCTION("""COMPUTED_VALUE"""),"Thriller")</f>
        <v>Thriller</v>
      </c>
      <c r="G473" s="6">
        <f>IFERROR(__xludf.DUMMYFUNCTION("""COMPUTED_VALUE"""),150.0)</f>
        <v>150</v>
      </c>
      <c r="H473" s="6">
        <f>IFERROR(__xludf.DUMMYFUNCTION("""COMPUTED_VALUE"""),0.0)</f>
        <v>0</v>
      </c>
      <c r="I473" s="6" t="str">
        <f>IFERROR(__xludf.DUMMYFUNCTION("""COMPUTED_VALUE"""),"Desktop")</f>
        <v>Desktop</v>
      </c>
      <c r="J473" s="6" t="str">
        <f>IFERROR(__xludf.DUMMYFUNCTION("""COMPUTED_VALUE"""),"India")</f>
        <v>India</v>
      </c>
      <c r="K473" s="6" t="str">
        <f>IFERROR(__xludf.DUMMYFUNCTION("""COMPUTED_VALUE"""),"Standard")</f>
        <v>Standard</v>
      </c>
      <c r="L473" s="6">
        <f>IFERROR(__xludf.DUMMYFUNCTION("""COMPUTED_VALUE"""),0.0)</f>
        <v>0</v>
      </c>
      <c r="M473" s="6" t="str">
        <f>IFERROR(__xludf.DUMMYFUNCTION("""COMPUTED_VALUE"""),"2023-06")</f>
        <v>2023-06</v>
      </c>
    </row>
    <row r="474">
      <c r="A474" s="6" t="str">
        <f>IFERROR(__xludf.DUMMYFUNCTION("""COMPUTED_VALUE"""),"2a4fab58-7f10-4df7-8fc8-bc09c8498c44")</f>
        <v>2a4fab58-7f10-4df7-8fc8-bc09c8498c44</v>
      </c>
      <c r="B474" s="6" t="str">
        <f>IFERROR(__xludf.DUMMYFUNCTION("""COMPUTED_VALUE"""),"d4e0d706-43c2-4404-b1d3-017d803d51d3")</f>
        <v>d4e0d706-43c2-4404-b1d3-017d803d51d3</v>
      </c>
      <c r="C474" s="7">
        <f>IFERROR(__xludf.DUMMYFUNCTION("""COMPUTED_VALUE"""),45224.0)</f>
        <v>45224</v>
      </c>
      <c r="D474" s="8">
        <f>IFERROR(__xludf.DUMMYFUNCTION("""COMPUTED_VALUE"""),3.929885E7)</f>
        <v>39298850</v>
      </c>
      <c r="E474" s="6" t="str">
        <f>IFERROR(__xludf.DUMMYFUNCTION("""COMPUTED_VALUE"""),"MOVIE")</f>
        <v>MOVIE</v>
      </c>
      <c r="F474" s="6" t="str">
        <f>IFERROR(__xludf.DUMMYFUNCTION("""COMPUTED_VALUE"""),"Comedy")</f>
        <v>Comedy</v>
      </c>
      <c r="G474" s="6">
        <f>IFERROR(__xludf.DUMMYFUNCTION("""COMPUTED_VALUE"""),43.0)</f>
        <v>43</v>
      </c>
      <c r="H474" s="6">
        <f>IFERROR(__xludf.DUMMYFUNCTION("""COMPUTED_VALUE"""),1.0)</f>
        <v>1</v>
      </c>
      <c r="I474" s="6" t="str">
        <f>IFERROR(__xludf.DUMMYFUNCTION("""COMPUTED_VALUE"""),"Smart Tv")</f>
        <v>Smart Tv</v>
      </c>
      <c r="J474" s="6" t="str">
        <f>IFERROR(__xludf.DUMMYFUNCTION("""COMPUTED_VALUE"""),"Uk")</f>
        <v>Uk</v>
      </c>
      <c r="K474" s="6" t="str">
        <f>IFERROR(__xludf.DUMMYFUNCTION("""COMPUTED_VALUE"""),"Premium")</f>
        <v>Premium</v>
      </c>
      <c r="L474" s="6">
        <f>IFERROR(__xludf.DUMMYFUNCTION("""COMPUTED_VALUE"""),0.0)</f>
        <v>0</v>
      </c>
      <c r="M474" s="6" t="str">
        <f>IFERROR(__xludf.DUMMYFUNCTION("""COMPUTED_VALUE"""),"2023-10")</f>
        <v>2023-10</v>
      </c>
    </row>
    <row r="475">
      <c r="A475" s="6" t="str">
        <f>IFERROR(__xludf.DUMMYFUNCTION("""COMPUTED_VALUE"""),"54cec6a3-c8ec-4076-8140-2fa6756a09be")</f>
        <v>54cec6a3-c8ec-4076-8140-2fa6756a09be</v>
      </c>
      <c r="B475" s="6" t="str">
        <f>IFERROR(__xludf.DUMMYFUNCTION("""COMPUTED_VALUE"""),"d51d43c3-26cb-4c7b-aa82-9539c6ccd815")</f>
        <v>d51d43c3-26cb-4c7b-aa82-9539c6ccd815</v>
      </c>
      <c r="C475" s="7">
        <f>IFERROR(__xludf.DUMMYFUNCTION("""COMPUTED_VALUE"""),45127.0)</f>
        <v>45127</v>
      </c>
      <c r="D475" s="8">
        <f>IFERROR(__xludf.DUMMYFUNCTION("""COMPUTED_VALUE"""),7.5689049E7)</f>
        <v>75689049</v>
      </c>
      <c r="E475" s="6" t="str">
        <f>IFERROR(__xludf.DUMMYFUNCTION("""COMPUTED_VALUE"""),"SERIES")</f>
        <v>SERIES</v>
      </c>
      <c r="F475" s="6" t="str">
        <f>IFERROR(__xludf.DUMMYFUNCTION("""COMPUTED_VALUE"""),"Thriller")</f>
        <v>Thriller</v>
      </c>
      <c r="G475" s="6">
        <f>IFERROR(__xludf.DUMMYFUNCTION("""COMPUTED_VALUE"""),165.0)</f>
        <v>165</v>
      </c>
      <c r="H475" s="6">
        <f>IFERROR(__xludf.DUMMYFUNCTION("""COMPUTED_VALUE"""),1.0)</f>
        <v>1</v>
      </c>
      <c r="I475" s="6" t="str">
        <f>IFERROR(__xludf.DUMMYFUNCTION("""COMPUTED_VALUE"""),"Smart Tv")</f>
        <v>Smart Tv</v>
      </c>
      <c r="J475" s="6" t="str">
        <f>IFERROR(__xludf.DUMMYFUNCTION("""COMPUTED_VALUE"""),"France")</f>
        <v>France</v>
      </c>
      <c r="K475" s="6" t="str">
        <f>IFERROR(__xludf.DUMMYFUNCTION("""COMPUTED_VALUE"""),"Premium")</f>
        <v>Premium</v>
      </c>
      <c r="L475" s="6">
        <f>IFERROR(__xludf.DUMMYFUNCTION("""COMPUTED_VALUE"""),0.0)</f>
        <v>0</v>
      </c>
      <c r="M475" s="6" t="str">
        <f>IFERROR(__xludf.DUMMYFUNCTION("""COMPUTED_VALUE"""),"2023-07")</f>
        <v>2023-07</v>
      </c>
    </row>
    <row r="476">
      <c r="A476" s="6" t="str">
        <f>IFERROR(__xludf.DUMMYFUNCTION("""COMPUTED_VALUE"""),"584ca7a8-3f0a-4149-98aa-622eeec051bb")</f>
        <v>584ca7a8-3f0a-4149-98aa-622eeec051bb</v>
      </c>
      <c r="B476" s="6" t="str">
        <f>IFERROR(__xludf.DUMMYFUNCTION("""COMPUTED_VALUE"""),"d54b860f-cda9-43f1-99c7-55ad5e54435b")</f>
        <v>d54b860f-cda9-43f1-99c7-55ad5e54435b</v>
      </c>
      <c r="C476" s="7">
        <f>IFERROR(__xludf.DUMMYFUNCTION("""COMPUTED_VALUE"""),44955.0)</f>
        <v>44955</v>
      </c>
      <c r="D476" s="8">
        <f>IFERROR(__xludf.DUMMYFUNCTION("""COMPUTED_VALUE"""),5.2653179E7)</f>
        <v>52653179</v>
      </c>
      <c r="E476" s="6" t="str">
        <f>IFERROR(__xludf.DUMMYFUNCTION("""COMPUTED_VALUE"""),"DOCUMENTARY")</f>
        <v>DOCUMENTARY</v>
      </c>
      <c r="F476" s="6" t="str">
        <f>IFERROR(__xludf.DUMMYFUNCTION("""COMPUTED_VALUE"""),"Comedy")</f>
        <v>Comedy</v>
      </c>
      <c r="G476" s="6">
        <f>IFERROR(__xludf.DUMMYFUNCTION("""COMPUTED_VALUE"""),77.0)</f>
        <v>77</v>
      </c>
      <c r="H476" s="6">
        <f>IFERROR(__xludf.DUMMYFUNCTION("""COMPUTED_VALUE"""),1.0)</f>
        <v>1</v>
      </c>
      <c r="I476" s="6" t="str">
        <f>IFERROR(__xludf.DUMMYFUNCTION("""COMPUTED_VALUE"""),"Desktop")</f>
        <v>Desktop</v>
      </c>
      <c r="J476" s="6" t="str">
        <f>IFERROR(__xludf.DUMMYFUNCTION("""COMPUTED_VALUE"""),"India")</f>
        <v>India</v>
      </c>
      <c r="K476" s="6" t="str">
        <f>IFERROR(__xludf.DUMMYFUNCTION("""COMPUTED_VALUE"""),"Basic")</f>
        <v>Basic</v>
      </c>
      <c r="L476" s="6">
        <f>IFERROR(__xludf.DUMMYFUNCTION("""COMPUTED_VALUE"""),0.0)</f>
        <v>0</v>
      </c>
      <c r="M476" s="6" t="str">
        <f>IFERROR(__xludf.DUMMYFUNCTION("""COMPUTED_VALUE"""),"2023-01")</f>
        <v>2023-01</v>
      </c>
    </row>
    <row r="477">
      <c r="A477" s="6" t="str">
        <f>IFERROR(__xludf.DUMMYFUNCTION("""COMPUTED_VALUE"""),"6a61fa34-bde9-4b9e-91f9-27461c4e5303")</f>
        <v>6a61fa34-bde9-4b9e-91f9-27461c4e5303</v>
      </c>
      <c r="B477" s="6" t="str">
        <f>IFERROR(__xludf.DUMMYFUNCTION("""COMPUTED_VALUE"""),"d5718bde-a7cc-4904-a04f-35c27ceb5c71")</f>
        <v>d5718bde-a7cc-4904-a04f-35c27ceb5c71</v>
      </c>
      <c r="C477" s="7">
        <f>IFERROR(__xludf.DUMMYFUNCTION("""COMPUTED_VALUE"""),45162.0)</f>
        <v>45162</v>
      </c>
      <c r="D477" s="8">
        <f>IFERROR(__xludf.DUMMYFUNCTION("""COMPUTED_VALUE"""),5.7218045E7)</f>
        <v>57218045</v>
      </c>
      <c r="E477" s="6" t="str">
        <f>IFERROR(__xludf.DUMMYFUNCTION("""COMPUTED_VALUE"""),"MOVIE")</f>
        <v>MOVIE</v>
      </c>
      <c r="F477" s="6" t="str">
        <f>IFERROR(__xludf.DUMMYFUNCTION("""COMPUTED_VALUE"""),"Drama")</f>
        <v>Drama</v>
      </c>
      <c r="G477" s="6">
        <f>IFERROR(__xludf.DUMMYFUNCTION("""COMPUTED_VALUE"""),14.0)</f>
        <v>14</v>
      </c>
      <c r="H477" s="6">
        <f>IFERROR(__xludf.DUMMYFUNCTION("""COMPUTED_VALUE"""),1.0)</f>
        <v>1</v>
      </c>
      <c r="I477" s="6" t="str">
        <f>IFERROR(__xludf.DUMMYFUNCTION("""COMPUTED_VALUE"""),"Mobile")</f>
        <v>Mobile</v>
      </c>
      <c r="J477" s="6" t="str">
        <f>IFERROR(__xludf.DUMMYFUNCTION("""COMPUTED_VALUE"""),"France")</f>
        <v>France</v>
      </c>
      <c r="K477" s="6" t="str">
        <f>IFERROR(__xludf.DUMMYFUNCTION("""COMPUTED_VALUE"""),"Standard")</f>
        <v>Standard</v>
      </c>
      <c r="L477" s="6">
        <f>IFERROR(__xludf.DUMMYFUNCTION("""COMPUTED_VALUE"""),0.0)</f>
        <v>0</v>
      </c>
      <c r="M477" s="6" t="str">
        <f>IFERROR(__xludf.DUMMYFUNCTION("""COMPUTED_VALUE"""),"2023-08")</f>
        <v>2023-08</v>
      </c>
    </row>
    <row r="478">
      <c r="A478" s="6" t="str">
        <f>IFERROR(__xludf.DUMMYFUNCTION("""COMPUTED_VALUE"""),"6f7a08bc-65b5-4e18-b5da-1e585d565c5e")</f>
        <v>6f7a08bc-65b5-4e18-b5da-1e585d565c5e</v>
      </c>
      <c r="B478" s="6" t="str">
        <f>IFERROR(__xludf.DUMMYFUNCTION("""COMPUTED_VALUE"""),"d57a00a3-4600-4654-b637-9ee556bf4493")</f>
        <v>d57a00a3-4600-4654-b637-9ee556bf4493</v>
      </c>
      <c r="C478" s="7">
        <f>IFERROR(__xludf.DUMMYFUNCTION("""COMPUTED_VALUE"""),45017.0)</f>
        <v>45017</v>
      </c>
      <c r="D478" s="8">
        <f>IFERROR(__xludf.DUMMYFUNCTION("""COMPUTED_VALUE"""),4.1149911E7)</f>
        <v>41149911</v>
      </c>
      <c r="E478" s="6" t="str">
        <f>IFERROR(__xludf.DUMMYFUNCTION("""COMPUTED_VALUE"""),"DOCUMENTARY")</f>
        <v>DOCUMENTARY</v>
      </c>
      <c r="F478" s="6" t="str">
        <f>IFERROR(__xludf.DUMMYFUNCTION("""COMPUTED_VALUE"""),"Comedy")</f>
        <v>Comedy</v>
      </c>
      <c r="G478" s="6">
        <f>IFERROR(__xludf.DUMMYFUNCTION("""COMPUTED_VALUE"""),154.0)</f>
        <v>154</v>
      </c>
      <c r="H478" s="6">
        <f>IFERROR(__xludf.DUMMYFUNCTION("""COMPUTED_VALUE"""),1.0)</f>
        <v>1</v>
      </c>
      <c r="I478" s="6" t="str">
        <f>IFERROR(__xludf.DUMMYFUNCTION("""COMPUTED_VALUE"""),"Desktop")</f>
        <v>Desktop</v>
      </c>
      <c r="J478" s="6" t="str">
        <f>IFERROR(__xludf.DUMMYFUNCTION("""COMPUTED_VALUE"""),"Germany")</f>
        <v>Germany</v>
      </c>
      <c r="K478" s="6" t="str">
        <f>IFERROR(__xludf.DUMMYFUNCTION("""COMPUTED_VALUE"""),"Basic")</f>
        <v>Basic</v>
      </c>
      <c r="L478" s="6">
        <f>IFERROR(__xludf.DUMMYFUNCTION("""COMPUTED_VALUE"""),0.0)</f>
        <v>0</v>
      </c>
      <c r="M478" s="6" t="str">
        <f>IFERROR(__xludf.DUMMYFUNCTION("""COMPUTED_VALUE"""),"2023-04")</f>
        <v>2023-04</v>
      </c>
    </row>
    <row r="479">
      <c r="A479" s="6" t="str">
        <f>IFERROR(__xludf.DUMMYFUNCTION("""COMPUTED_VALUE"""),"2ea00ee8-d24e-4e20-a19c-ff3fdae4e050")</f>
        <v>2ea00ee8-d24e-4e20-a19c-ff3fdae4e050</v>
      </c>
      <c r="B479" s="6" t="str">
        <f>IFERROR(__xludf.DUMMYFUNCTION("""COMPUTED_VALUE"""),"d5834609-6077-42f5-8af4-354b91589df9")</f>
        <v>d5834609-6077-42f5-8af4-354b91589df9</v>
      </c>
      <c r="C479" s="7">
        <f>IFERROR(__xludf.DUMMYFUNCTION("""COMPUTED_VALUE"""),44992.0)</f>
        <v>44992</v>
      </c>
      <c r="D479" s="8">
        <f>IFERROR(__xludf.DUMMYFUNCTION("""COMPUTED_VALUE"""),6.797346E7)</f>
        <v>67973460</v>
      </c>
      <c r="E479" s="6" t="str">
        <f>IFERROR(__xludf.DUMMYFUNCTION("""COMPUTED_VALUE"""),"MOVIE")</f>
        <v>MOVIE</v>
      </c>
      <c r="F479" s="6" t="str">
        <f>IFERROR(__xludf.DUMMYFUNCTION("""COMPUTED_VALUE"""),"Action")</f>
        <v>Action</v>
      </c>
      <c r="G479" s="6">
        <f>IFERROR(__xludf.DUMMYFUNCTION("""COMPUTED_VALUE"""),118.0)</f>
        <v>118</v>
      </c>
      <c r="H479" s="6">
        <f>IFERROR(__xludf.DUMMYFUNCTION("""COMPUTED_VALUE"""),0.0)</f>
        <v>0</v>
      </c>
      <c r="I479" s="6" t="str">
        <f>IFERROR(__xludf.DUMMYFUNCTION("""COMPUTED_VALUE"""),"Smart Tv")</f>
        <v>Smart Tv</v>
      </c>
      <c r="J479" s="6" t="str">
        <f>IFERROR(__xludf.DUMMYFUNCTION("""COMPUTED_VALUE"""),"France")</f>
        <v>France</v>
      </c>
      <c r="K479" s="6" t="str">
        <f>IFERROR(__xludf.DUMMYFUNCTION("""COMPUTED_VALUE"""),"Basic")</f>
        <v>Basic</v>
      </c>
      <c r="L479" s="6">
        <f>IFERROR(__xludf.DUMMYFUNCTION("""COMPUTED_VALUE"""),1.0)</f>
        <v>1</v>
      </c>
      <c r="M479" s="6" t="str">
        <f>IFERROR(__xludf.DUMMYFUNCTION("""COMPUTED_VALUE"""),"2023-03")</f>
        <v>2023-03</v>
      </c>
    </row>
    <row r="480">
      <c r="A480" s="6" t="str">
        <f>IFERROR(__xludf.DUMMYFUNCTION("""COMPUTED_VALUE"""),"a25a2423-943a-464e-b110-48754eb43ad4")</f>
        <v>a25a2423-943a-464e-b110-48754eb43ad4</v>
      </c>
      <c r="B480" s="6" t="str">
        <f>IFERROR(__xludf.DUMMYFUNCTION("""COMPUTED_VALUE"""),"d5ad0ef5-1a29-4182-9e3f-6d3e27b097f3")</f>
        <v>d5ad0ef5-1a29-4182-9e3f-6d3e27b097f3</v>
      </c>
      <c r="C480" s="7">
        <f>IFERROR(__xludf.DUMMYFUNCTION("""COMPUTED_VALUE"""),45021.0)</f>
        <v>45021</v>
      </c>
      <c r="D480" s="8">
        <f>IFERROR(__xludf.DUMMYFUNCTION("""COMPUTED_VALUE"""),1.2813087E7)</f>
        <v>12813087</v>
      </c>
      <c r="E480" s="6" t="str">
        <f>IFERROR(__xludf.DUMMYFUNCTION("""COMPUTED_VALUE"""),"DOCUMENTARY")</f>
        <v>DOCUMENTARY</v>
      </c>
      <c r="F480" s="6" t="str">
        <f>IFERROR(__xludf.DUMMYFUNCTION("""COMPUTED_VALUE"""),"Comedy")</f>
        <v>Comedy</v>
      </c>
      <c r="G480" s="6">
        <f>IFERROR(__xludf.DUMMYFUNCTION("""COMPUTED_VALUE"""),99.0)</f>
        <v>99</v>
      </c>
      <c r="H480" s="6">
        <f>IFERROR(__xludf.DUMMYFUNCTION("""COMPUTED_VALUE"""),1.0)</f>
        <v>1</v>
      </c>
      <c r="I480" s="6" t="str">
        <f>IFERROR(__xludf.DUMMYFUNCTION("""COMPUTED_VALUE"""),"Tablet")</f>
        <v>Tablet</v>
      </c>
      <c r="J480" s="6" t="str">
        <f>IFERROR(__xludf.DUMMYFUNCTION("""COMPUTED_VALUE"""),"France")</f>
        <v>France</v>
      </c>
      <c r="K480" s="6" t="str">
        <f>IFERROR(__xludf.DUMMYFUNCTION("""COMPUTED_VALUE"""),"Premium")</f>
        <v>Premium</v>
      </c>
      <c r="L480" s="6">
        <f>IFERROR(__xludf.DUMMYFUNCTION("""COMPUTED_VALUE"""),0.0)</f>
        <v>0</v>
      </c>
      <c r="M480" s="6" t="str">
        <f>IFERROR(__xludf.DUMMYFUNCTION("""COMPUTED_VALUE"""),"2023-04")</f>
        <v>2023-04</v>
      </c>
    </row>
    <row r="481">
      <c r="A481" s="6" t="str">
        <f>IFERROR(__xludf.DUMMYFUNCTION("""COMPUTED_VALUE"""),"77c7af5d-8dd9-47d4-9426-2bbe4000e2b3")</f>
        <v>77c7af5d-8dd9-47d4-9426-2bbe4000e2b3</v>
      </c>
      <c r="B481" s="6" t="str">
        <f>IFERROR(__xludf.DUMMYFUNCTION("""COMPUTED_VALUE"""),"d6189322-aed1-4a62-b195-d8f18f71b0d5")</f>
        <v>d6189322-aed1-4a62-b195-d8f18f71b0d5</v>
      </c>
      <c r="C481" s="7">
        <f>IFERROR(__xludf.DUMMYFUNCTION("""COMPUTED_VALUE"""),44939.0)</f>
        <v>44939</v>
      </c>
      <c r="D481" s="8">
        <f>IFERROR(__xludf.DUMMYFUNCTION("""COMPUTED_VALUE"""),6815226.0)</f>
        <v>6815226</v>
      </c>
      <c r="E481" s="6" t="str">
        <f>IFERROR(__xludf.DUMMYFUNCTION("""COMPUTED_VALUE"""),"DOCUMENTARY")</f>
        <v>DOCUMENTARY</v>
      </c>
      <c r="F481" s="6" t="str">
        <f>IFERROR(__xludf.DUMMYFUNCTION("""COMPUTED_VALUE"""),"Action")</f>
        <v>Action</v>
      </c>
      <c r="G481" s="6">
        <f>IFERROR(__xludf.DUMMYFUNCTION("""COMPUTED_VALUE"""),145.0)</f>
        <v>145</v>
      </c>
      <c r="H481" s="6">
        <f>IFERROR(__xludf.DUMMYFUNCTION("""COMPUTED_VALUE"""),1.0)</f>
        <v>1</v>
      </c>
      <c r="I481" s="6" t="str">
        <f>IFERROR(__xludf.DUMMYFUNCTION("""COMPUTED_VALUE"""),"Mobile")</f>
        <v>Mobile</v>
      </c>
      <c r="J481" s="6" t="str">
        <f>IFERROR(__xludf.DUMMYFUNCTION("""COMPUTED_VALUE"""),"Uk")</f>
        <v>Uk</v>
      </c>
      <c r="K481" s="6" t="str">
        <f>IFERROR(__xludf.DUMMYFUNCTION("""COMPUTED_VALUE"""),"Standard")</f>
        <v>Standard</v>
      </c>
      <c r="L481" s="6">
        <f>IFERROR(__xludf.DUMMYFUNCTION("""COMPUTED_VALUE"""),0.0)</f>
        <v>0</v>
      </c>
      <c r="M481" s="6" t="str">
        <f>IFERROR(__xludf.DUMMYFUNCTION("""COMPUTED_VALUE"""),"2023-01")</f>
        <v>2023-01</v>
      </c>
    </row>
    <row r="482">
      <c r="A482" s="6" t="str">
        <f>IFERROR(__xludf.DUMMYFUNCTION("""COMPUTED_VALUE"""),"35f01b7b-c821-482d-bb78-3da9d6874618")</f>
        <v>35f01b7b-c821-482d-bb78-3da9d6874618</v>
      </c>
      <c r="B482" s="6" t="str">
        <f>IFERROR(__xludf.DUMMYFUNCTION("""COMPUTED_VALUE"""),"d6c33291-fa6b-4720-9eb9-97b7914d96b5")</f>
        <v>d6c33291-fa6b-4720-9eb9-97b7914d96b5</v>
      </c>
      <c r="C482" s="7">
        <f>IFERROR(__xludf.DUMMYFUNCTION("""COMPUTED_VALUE"""),45129.0)</f>
        <v>45129</v>
      </c>
      <c r="D482" s="8">
        <f>IFERROR(__xludf.DUMMYFUNCTION("""COMPUTED_VALUE"""),2.799247E7)</f>
        <v>27992470</v>
      </c>
      <c r="E482" s="6" t="str">
        <f>IFERROR(__xludf.DUMMYFUNCTION("""COMPUTED_VALUE"""),"MOVIE")</f>
        <v>MOVIE</v>
      </c>
      <c r="F482" s="6" t="str">
        <f>IFERROR(__xludf.DUMMYFUNCTION("""COMPUTED_VALUE"""),"Thriller")</f>
        <v>Thriller</v>
      </c>
      <c r="G482" s="6">
        <f>IFERROR(__xludf.DUMMYFUNCTION("""COMPUTED_VALUE"""),158.0)</f>
        <v>158</v>
      </c>
      <c r="H482" s="6">
        <f>IFERROR(__xludf.DUMMYFUNCTION("""COMPUTED_VALUE"""),1.0)</f>
        <v>1</v>
      </c>
      <c r="I482" s="6" t="str">
        <f>IFERROR(__xludf.DUMMYFUNCTION("""COMPUTED_VALUE"""),"Smart Tv")</f>
        <v>Smart Tv</v>
      </c>
      <c r="J482" s="6" t="str">
        <f>IFERROR(__xludf.DUMMYFUNCTION("""COMPUTED_VALUE"""),"Germany")</f>
        <v>Germany</v>
      </c>
      <c r="K482" s="6" t="str">
        <f>IFERROR(__xludf.DUMMYFUNCTION("""COMPUTED_VALUE"""),"Standard")</f>
        <v>Standard</v>
      </c>
      <c r="L482" s="6">
        <f>IFERROR(__xludf.DUMMYFUNCTION("""COMPUTED_VALUE"""),0.0)</f>
        <v>0</v>
      </c>
      <c r="M482" s="6" t="str">
        <f>IFERROR(__xludf.DUMMYFUNCTION("""COMPUTED_VALUE"""),"2023-07")</f>
        <v>2023-07</v>
      </c>
    </row>
    <row r="483">
      <c r="A483" s="6" t="str">
        <f>IFERROR(__xludf.DUMMYFUNCTION("""COMPUTED_VALUE"""),"6bca8e92-a956-4b55-8d2f-c15c68a802f4")</f>
        <v>6bca8e92-a956-4b55-8d2f-c15c68a802f4</v>
      </c>
      <c r="B483" s="6" t="str">
        <f>IFERROR(__xludf.DUMMYFUNCTION("""COMPUTED_VALUE"""),"d729d6ba-2107-4ff0-a081-671b4b040b7a")</f>
        <v>d729d6ba-2107-4ff0-a081-671b4b040b7a</v>
      </c>
      <c r="C483" s="7">
        <f>IFERROR(__xludf.DUMMYFUNCTION("""COMPUTED_VALUE"""),45047.0)</f>
        <v>45047</v>
      </c>
      <c r="D483" s="8">
        <f>IFERROR(__xludf.DUMMYFUNCTION("""COMPUTED_VALUE"""),8495853.0)</f>
        <v>8495853</v>
      </c>
      <c r="E483" s="6" t="str">
        <f>IFERROR(__xludf.DUMMYFUNCTION("""COMPUTED_VALUE"""),"SERIES")</f>
        <v>SERIES</v>
      </c>
      <c r="F483" s="6" t="str">
        <f>IFERROR(__xludf.DUMMYFUNCTION("""COMPUTED_VALUE"""),"Action")</f>
        <v>Action</v>
      </c>
      <c r="G483" s="6">
        <f>IFERROR(__xludf.DUMMYFUNCTION("""COMPUTED_VALUE"""),67.0)</f>
        <v>67</v>
      </c>
      <c r="H483" s="6">
        <f>IFERROR(__xludf.DUMMYFUNCTION("""COMPUTED_VALUE"""),0.0)</f>
        <v>0</v>
      </c>
      <c r="I483" s="6" t="str">
        <f>IFERROR(__xludf.DUMMYFUNCTION("""COMPUTED_VALUE"""),"Smart Tv")</f>
        <v>Smart Tv</v>
      </c>
      <c r="J483" s="6" t="str">
        <f>IFERROR(__xludf.DUMMYFUNCTION("""COMPUTED_VALUE"""),"France")</f>
        <v>France</v>
      </c>
      <c r="K483" s="6" t="str">
        <f>IFERROR(__xludf.DUMMYFUNCTION("""COMPUTED_VALUE"""),"Basic")</f>
        <v>Basic</v>
      </c>
      <c r="L483" s="6">
        <f>IFERROR(__xludf.DUMMYFUNCTION("""COMPUTED_VALUE"""),0.0)</f>
        <v>0</v>
      </c>
      <c r="M483" s="6" t="str">
        <f>IFERROR(__xludf.DUMMYFUNCTION("""COMPUTED_VALUE"""),"2023-05")</f>
        <v>2023-05</v>
      </c>
    </row>
    <row r="484">
      <c r="A484" s="6" t="str">
        <f>IFERROR(__xludf.DUMMYFUNCTION("""COMPUTED_VALUE"""),"cd0bdb15-c5ba-4a34-a556-5599125a2b84")</f>
        <v>cd0bdb15-c5ba-4a34-a556-5599125a2b84</v>
      </c>
      <c r="B484" s="6" t="str">
        <f>IFERROR(__xludf.DUMMYFUNCTION("""COMPUTED_VALUE"""),"d7bbf4d1-5fb1-4a54-98db-c547e4ee5beb")</f>
        <v>d7bbf4d1-5fb1-4a54-98db-c547e4ee5beb</v>
      </c>
      <c r="C484" s="7">
        <f>IFERROR(__xludf.DUMMYFUNCTION("""COMPUTED_VALUE"""),45049.0)</f>
        <v>45049</v>
      </c>
      <c r="D484" s="8">
        <f>IFERROR(__xludf.DUMMYFUNCTION("""COMPUTED_VALUE"""),4.9679878E7)</f>
        <v>49679878</v>
      </c>
      <c r="E484" s="6" t="str">
        <f>IFERROR(__xludf.DUMMYFUNCTION("""COMPUTED_VALUE"""),"MOVIE")</f>
        <v>MOVIE</v>
      </c>
      <c r="F484" s="6" t="str">
        <f>IFERROR(__xludf.DUMMYFUNCTION("""COMPUTED_VALUE"""),"Drama")</f>
        <v>Drama</v>
      </c>
      <c r="G484" s="6">
        <f>IFERROR(__xludf.DUMMYFUNCTION("""COMPUTED_VALUE"""),56.0)</f>
        <v>56</v>
      </c>
      <c r="H484" s="6">
        <f>IFERROR(__xludf.DUMMYFUNCTION("""COMPUTED_VALUE"""),1.0)</f>
        <v>1</v>
      </c>
      <c r="I484" s="6" t="str">
        <f>IFERROR(__xludf.DUMMYFUNCTION("""COMPUTED_VALUE"""),"Mobile")</f>
        <v>Mobile</v>
      </c>
      <c r="J484" s="6" t="str">
        <f>IFERROR(__xludf.DUMMYFUNCTION("""COMPUTED_VALUE"""),"India")</f>
        <v>India</v>
      </c>
      <c r="K484" s="6" t="str">
        <f>IFERROR(__xludf.DUMMYFUNCTION("""COMPUTED_VALUE"""),"Basic")</f>
        <v>Basic</v>
      </c>
      <c r="L484" s="6">
        <f>IFERROR(__xludf.DUMMYFUNCTION("""COMPUTED_VALUE"""),0.0)</f>
        <v>0</v>
      </c>
      <c r="M484" s="6" t="str">
        <f>IFERROR(__xludf.DUMMYFUNCTION("""COMPUTED_VALUE"""),"2023-05")</f>
        <v>2023-05</v>
      </c>
    </row>
    <row r="485">
      <c r="A485" s="6" t="str">
        <f>IFERROR(__xludf.DUMMYFUNCTION("""COMPUTED_VALUE"""),"69ddbf7f-b17e-4820-bf1c-a1a933af6a90")</f>
        <v>69ddbf7f-b17e-4820-bf1c-a1a933af6a90</v>
      </c>
      <c r="B485" s="6" t="str">
        <f>IFERROR(__xludf.DUMMYFUNCTION("""COMPUTED_VALUE"""),"d8053e48-45af-44b8-86b0-e7a5ffa7fa9d")</f>
        <v>d8053e48-45af-44b8-86b0-e7a5ffa7fa9d</v>
      </c>
      <c r="C485" s="7">
        <f>IFERROR(__xludf.DUMMYFUNCTION("""COMPUTED_VALUE"""),45189.0)</f>
        <v>45189</v>
      </c>
      <c r="D485" s="8">
        <f>IFERROR(__xludf.DUMMYFUNCTION("""COMPUTED_VALUE"""),8.8809496E7)</f>
        <v>88809496</v>
      </c>
      <c r="E485" s="6" t="str">
        <f>IFERROR(__xludf.DUMMYFUNCTION("""COMPUTED_VALUE"""),"SERIES")</f>
        <v>SERIES</v>
      </c>
      <c r="F485" s="6" t="str">
        <f>IFERROR(__xludf.DUMMYFUNCTION("""COMPUTED_VALUE"""),"Comedy")</f>
        <v>Comedy</v>
      </c>
      <c r="G485" s="6">
        <f>IFERROR(__xludf.DUMMYFUNCTION("""COMPUTED_VALUE"""),24.0)</f>
        <v>24</v>
      </c>
      <c r="H485" s="6">
        <f>IFERROR(__xludf.DUMMYFUNCTION("""COMPUTED_VALUE"""),1.0)</f>
        <v>1</v>
      </c>
      <c r="I485" s="6" t="str">
        <f>IFERROR(__xludf.DUMMYFUNCTION("""COMPUTED_VALUE"""),"Smart Tv")</f>
        <v>Smart Tv</v>
      </c>
      <c r="J485" s="6" t="str">
        <f>IFERROR(__xludf.DUMMYFUNCTION("""COMPUTED_VALUE"""),"Germany")</f>
        <v>Germany</v>
      </c>
      <c r="K485" s="6" t="str">
        <f>IFERROR(__xludf.DUMMYFUNCTION("""COMPUTED_VALUE"""),"Premium")</f>
        <v>Premium</v>
      </c>
      <c r="L485" s="6">
        <f>IFERROR(__xludf.DUMMYFUNCTION("""COMPUTED_VALUE"""),0.0)</f>
        <v>0</v>
      </c>
      <c r="M485" s="6" t="str">
        <f>IFERROR(__xludf.DUMMYFUNCTION("""COMPUTED_VALUE"""),"2023-09")</f>
        <v>2023-09</v>
      </c>
    </row>
    <row r="486">
      <c r="A486" s="6" t="str">
        <f>IFERROR(__xludf.DUMMYFUNCTION("""COMPUTED_VALUE"""),"827f2f52-3905-46dc-9e88-8d320c4b5dfa")</f>
        <v>827f2f52-3905-46dc-9e88-8d320c4b5dfa</v>
      </c>
      <c r="B486" s="6" t="str">
        <f>IFERROR(__xludf.DUMMYFUNCTION("""COMPUTED_VALUE"""),"d8081af8-d75d-4644-bd50-fae6c4d44646")</f>
        <v>d8081af8-d75d-4644-bd50-fae6c4d44646</v>
      </c>
      <c r="C486" s="7">
        <f>IFERROR(__xludf.DUMMYFUNCTION("""COMPUTED_VALUE"""),45099.0)</f>
        <v>45099</v>
      </c>
      <c r="D486" s="8">
        <f>IFERROR(__xludf.DUMMYFUNCTION("""COMPUTED_VALUE"""),416665.0)</f>
        <v>416665</v>
      </c>
      <c r="E486" s="6" t="str">
        <f>IFERROR(__xludf.DUMMYFUNCTION("""COMPUTED_VALUE"""),"DOCUMENTARY")</f>
        <v>DOCUMENTARY</v>
      </c>
      <c r="F486" s="6" t="str">
        <f>IFERROR(__xludf.DUMMYFUNCTION("""COMPUTED_VALUE"""),"Sci-Fi")</f>
        <v>Sci-Fi</v>
      </c>
      <c r="G486" s="6">
        <f>IFERROR(__xludf.DUMMYFUNCTION("""COMPUTED_VALUE"""),160.0)</f>
        <v>160</v>
      </c>
      <c r="H486" s="6">
        <f>IFERROR(__xludf.DUMMYFUNCTION("""COMPUTED_VALUE"""),0.0)</f>
        <v>0</v>
      </c>
      <c r="I486" s="6" t="str">
        <f>IFERROR(__xludf.DUMMYFUNCTION("""COMPUTED_VALUE"""),"Tablet")</f>
        <v>Tablet</v>
      </c>
      <c r="J486" s="6" t="str">
        <f>IFERROR(__xludf.DUMMYFUNCTION("""COMPUTED_VALUE"""),"France")</f>
        <v>France</v>
      </c>
      <c r="K486" s="6" t="str">
        <f>IFERROR(__xludf.DUMMYFUNCTION("""COMPUTED_VALUE"""),"Basic")</f>
        <v>Basic</v>
      </c>
      <c r="L486" s="6">
        <f>IFERROR(__xludf.DUMMYFUNCTION("""COMPUTED_VALUE"""),0.0)</f>
        <v>0</v>
      </c>
      <c r="M486" s="6" t="str">
        <f>IFERROR(__xludf.DUMMYFUNCTION("""COMPUTED_VALUE"""),"2023-06")</f>
        <v>2023-06</v>
      </c>
    </row>
    <row r="487">
      <c r="A487" s="6" t="str">
        <f>IFERROR(__xludf.DUMMYFUNCTION("""COMPUTED_VALUE"""),"288dcf56-a6b9-4035-9ff0-094f0b28624b")</f>
        <v>288dcf56-a6b9-4035-9ff0-094f0b28624b</v>
      </c>
      <c r="B487" s="6" t="str">
        <f>IFERROR(__xludf.DUMMYFUNCTION("""COMPUTED_VALUE"""),"d813db5e-2cc2-43a5-9848-a6e7e9c5d820")</f>
        <v>d813db5e-2cc2-43a5-9848-a6e7e9c5d820</v>
      </c>
      <c r="C487" s="7">
        <f>IFERROR(__xludf.DUMMYFUNCTION("""COMPUTED_VALUE"""),45200.0)</f>
        <v>45200</v>
      </c>
      <c r="D487" s="8">
        <f>IFERROR(__xludf.DUMMYFUNCTION("""COMPUTED_VALUE"""),6.3109214E7)</f>
        <v>63109214</v>
      </c>
      <c r="E487" s="6" t="str">
        <f>IFERROR(__xludf.DUMMYFUNCTION("""COMPUTED_VALUE"""),"MOVIE")</f>
        <v>MOVIE</v>
      </c>
      <c r="F487" s="6" t="str">
        <f>IFERROR(__xludf.DUMMYFUNCTION("""COMPUTED_VALUE"""),"Thriller")</f>
        <v>Thriller</v>
      </c>
      <c r="G487" s="6">
        <f>IFERROR(__xludf.DUMMYFUNCTION("""COMPUTED_VALUE"""),138.0)</f>
        <v>138</v>
      </c>
      <c r="H487" s="6">
        <f>IFERROR(__xludf.DUMMYFUNCTION("""COMPUTED_VALUE"""),1.0)</f>
        <v>1</v>
      </c>
      <c r="I487" s="6" t="str">
        <f>IFERROR(__xludf.DUMMYFUNCTION("""COMPUTED_VALUE"""),"Mobile")</f>
        <v>Mobile</v>
      </c>
      <c r="J487" s="6" t="str">
        <f>IFERROR(__xludf.DUMMYFUNCTION("""COMPUTED_VALUE"""),"Usa")</f>
        <v>Usa</v>
      </c>
      <c r="K487" s="6" t="str">
        <f>IFERROR(__xludf.DUMMYFUNCTION("""COMPUTED_VALUE"""),"Basic")</f>
        <v>Basic</v>
      </c>
      <c r="L487" s="6">
        <f>IFERROR(__xludf.DUMMYFUNCTION("""COMPUTED_VALUE"""),0.0)</f>
        <v>0</v>
      </c>
      <c r="M487" s="6" t="str">
        <f>IFERROR(__xludf.DUMMYFUNCTION("""COMPUTED_VALUE"""),"2023-10")</f>
        <v>2023-10</v>
      </c>
    </row>
    <row r="488">
      <c r="A488" s="6" t="str">
        <f>IFERROR(__xludf.DUMMYFUNCTION("""COMPUTED_VALUE"""),"aba88303-5c51-499e-a8ef-c7f9d4ad527d")</f>
        <v>aba88303-5c51-499e-a8ef-c7f9d4ad527d</v>
      </c>
      <c r="B488" s="6" t="str">
        <f>IFERROR(__xludf.DUMMYFUNCTION("""COMPUTED_VALUE"""),"d82cfb2c-0152-4b6d-83ca-7fc9eabb7e02")</f>
        <v>d82cfb2c-0152-4b6d-83ca-7fc9eabb7e02</v>
      </c>
      <c r="C488" s="7">
        <f>IFERROR(__xludf.DUMMYFUNCTION("""COMPUTED_VALUE"""),44969.0)</f>
        <v>44969</v>
      </c>
      <c r="D488" s="8">
        <f>IFERROR(__xludf.DUMMYFUNCTION("""COMPUTED_VALUE"""),6.980623E7)</f>
        <v>69806230</v>
      </c>
      <c r="E488" s="6" t="str">
        <f>IFERROR(__xludf.DUMMYFUNCTION("""COMPUTED_VALUE"""),"SERIES")</f>
        <v>SERIES</v>
      </c>
      <c r="F488" s="6" t="str">
        <f>IFERROR(__xludf.DUMMYFUNCTION("""COMPUTED_VALUE"""),"Sci-Fi")</f>
        <v>Sci-Fi</v>
      </c>
      <c r="G488" s="6">
        <f>IFERROR(__xludf.DUMMYFUNCTION("""COMPUTED_VALUE"""),31.0)</f>
        <v>31</v>
      </c>
      <c r="H488" s="6">
        <f>IFERROR(__xludf.DUMMYFUNCTION("""COMPUTED_VALUE"""),1.0)</f>
        <v>1</v>
      </c>
      <c r="I488" s="6" t="str">
        <f>IFERROR(__xludf.DUMMYFUNCTION("""COMPUTED_VALUE"""),"Mobile")</f>
        <v>Mobile</v>
      </c>
      <c r="J488" s="6" t="str">
        <f>IFERROR(__xludf.DUMMYFUNCTION("""COMPUTED_VALUE"""),"France")</f>
        <v>France</v>
      </c>
      <c r="K488" s="6" t="str">
        <f>IFERROR(__xludf.DUMMYFUNCTION("""COMPUTED_VALUE"""),"Standard")</f>
        <v>Standard</v>
      </c>
      <c r="L488" s="6">
        <f>IFERROR(__xludf.DUMMYFUNCTION("""COMPUTED_VALUE"""),0.0)</f>
        <v>0</v>
      </c>
      <c r="M488" s="6" t="str">
        <f>IFERROR(__xludf.DUMMYFUNCTION("""COMPUTED_VALUE"""),"2023-02")</f>
        <v>2023-02</v>
      </c>
    </row>
    <row r="489">
      <c r="A489" s="6" t="str">
        <f>IFERROR(__xludf.DUMMYFUNCTION("""COMPUTED_VALUE"""),"c38297c0-5c2d-4845-8d46-1211dd85171a")</f>
        <v>c38297c0-5c2d-4845-8d46-1211dd85171a</v>
      </c>
      <c r="B489" s="6" t="str">
        <f>IFERROR(__xludf.DUMMYFUNCTION("""COMPUTED_VALUE"""),"d8340c85-07f0-41c7-b24b-3223f64dbaae")</f>
        <v>d8340c85-07f0-41c7-b24b-3223f64dbaae</v>
      </c>
      <c r="C489" s="7">
        <f>IFERROR(__xludf.DUMMYFUNCTION("""COMPUTED_VALUE"""),45237.0)</f>
        <v>45237</v>
      </c>
      <c r="D489" s="8">
        <f>IFERROR(__xludf.DUMMYFUNCTION("""COMPUTED_VALUE"""),8.0352013E7)</f>
        <v>80352013</v>
      </c>
      <c r="E489" s="6" t="str">
        <f>IFERROR(__xludf.DUMMYFUNCTION("""COMPUTED_VALUE"""),"DOCUMENTARY")</f>
        <v>DOCUMENTARY</v>
      </c>
      <c r="F489" s="6" t="str">
        <f>IFERROR(__xludf.DUMMYFUNCTION("""COMPUTED_VALUE"""),"Action")</f>
        <v>Action</v>
      </c>
      <c r="G489" s="6">
        <f>IFERROR(__xludf.DUMMYFUNCTION("""COMPUTED_VALUE"""),163.0)</f>
        <v>163</v>
      </c>
      <c r="H489" s="6">
        <f>IFERROR(__xludf.DUMMYFUNCTION("""COMPUTED_VALUE"""),1.0)</f>
        <v>1</v>
      </c>
      <c r="I489" s="6" t="str">
        <f>IFERROR(__xludf.DUMMYFUNCTION("""COMPUTED_VALUE"""),"Smart Tv")</f>
        <v>Smart Tv</v>
      </c>
      <c r="J489" s="6" t="str">
        <f>IFERROR(__xludf.DUMMYFUNCTION("""COMPUTED_VALUE"""),"India")</f>
        <v>India</v>
      </c>
      <c r="K489" s="6" t="str">
        <f>IFERROR(__xludf.DUMMYFUNCTION("""COMPUTED_VALUE"""),"Standard")</f>
        <v>Standard</v>
      </c>
      <c r="L489" s="6">
        <f>IFERROR(__xludf.DUMMYFUNCTION("""COMPUTED_VALUE"""),0.0)</f>
        <v>0</v>
      </c>
      <c r="M489" s="6" t="str">
        <f>IFERROR(__xludf.DUMMYFUNCTION("""COMPUTED_VALUE"""),"2023-11")</f>
        <v>2023-11</v>
      </c>
    </row>
    <row r="490">
      <c r="A490" s="6" t="str">
        <f>IFERROR(__xludf.DUMMYFUNCTION("""COMPUTED_VALUE"""),"02d0f485-0066-4ad7-95c9-2dabc5d21bfd")</f>
        <v>02d0f485-0066-4ad7-95c9-2dabc5d21bfd</v>
      </c>
      <c r="B490" s="6" t="str">
        <f>IFERROR(__xludf.DUMMYFUNCTION("""COMPUTED_VALUE"""),"d87481a2-d38b-4acf-a176-db07251ab700")</f>
        <v>d87481a2-d38b-4acf-a176-db07251ab700</v>
      </c>
      <c r="C490" s="7">
        <f>IFERROR(__xludf.DUMMYFUNCTION("""COMPUTED_VALUE"""),44985.0)</f>
        <v>44985</v>
      </c>
      <c r="D490" s="8">
        <f>IFERROR(__xludf.DUMMYFUNCTION("""COMPUTED_VALUE"""),6.5599501E7)</f>
        <v>65599501</v>
      </c>
      <c r="E490" s="6" t="str">
        <f>IFERROR(__xludf.DUMMYFUNCTION("""COMPUTED_VALUE"""),"SERIES")</f>
        <v>SERIES</v>
      </c>
      <c r="F490" s="6" t="str">
        <f>IFERROR(__xludf.DUMMYFUNCTION("""COMPUTED_VALUE"""),"Drama")</f>
        <v>Drama</v>
      </c>
      <c r="G490" s="6">
        <f>IFERROR(__xludf.DUMMYFUNCTION("""COMPUTED_VALUE"""),133.0)</f>
        <v>133</v>
      </c>
      <c r="H490" s="6">
        <f>IFERROR(__xludf.DUMMYFUNCTION("""COMPUTED_VALUE"""),1.0)</f>
        <v>1</v>
      </c>
      <c r="I490" s="6" t="str">
        <f>IFERROR(__xludf.DUMMYFUNCTION("""COMPUTED_VALUE"""),"Mobile")</f>
        <v>Mobile</v>
      </c>
      <c r="J490" s="6" t="str">
        <f>IFERROR(__xludf.DUMMYFUNCTION("""COMPUTED_VALUE"""),"Usa")</f>
        <v>Usa</v>
      </c>
      <c r="K490" s="6" t="str">
        <f>IFERROR(__xludf.DUMMYFUNCTION("""COMPUTED_VALUE"""),"Standard")</f>
        <v>Standard</v>
      </c>
      <c r="L490" s="6">
        <f>IFERROR(__xludf.DUMMYFUNCTION("""COMPUTED_VALUE"""),0.0)</f>
        <v>0</v>
      </c>
      <c r="M490" s="6" t="str">
        <f>IFERROR(__xludf.DUMMYFUNCTION("""COMPUTED_VALUE"""),"2023-02")</f>
        <v>2023-02</v>
      </c>
    </row>
    <row r="491">
      <c r="A491" s="6" t="str">
        <f>IFERROR(__xludf.DUMMYFUNCTION("""COMPUTED_VALUE"""),"776df3b5-3c76-449f-9d27-b701030db9c4")</f>
        <v>776df3b5-3c76-449f-9d27-b701030db9c4</v>
      </c>
      <c r="B491" s="6" t="str">
        <f>IFERROR(__xludf.DUMMYFUNCTION("""COMPUTED_VALUE"""),"d8946afe-c047-4884-b944-14b823db46e8")</f>
        <v>d8946afe-c047-4884-b944-14b823db46e8</v>
      </c>
      <c r="C491" s="7">
        <f>IFERROR(__xludf.DUMMYFUNCTION("""COMPUTED_VALUE"""),45009.0)</f>
        <v>45009</v>
      </c>
      <c r="D491" s="8">
        <f>IFERROR(__xludf.DUMMYFUNCTION("""COMPUTED_VALUE"""),6.805199E7)</f>
        <v>68051990</v>
      </c>
      <c r="E491" s="6" t="str">
        <f>IFERROR(__xludf.DUMMYFUNCTION("""COMPUTED_VALUE"""),"DOCUMENTARY")</f>
        <v>DOCUMENTARY</v>
      </c>
      <c r="F491" s="6" t="str">
        <f>IFERROR(__xludf.DUMMYFUNCTION("""COMPUTED_VALUE"""),"Sci-Fi")</f>
        <v>Sci-Fi</v>
      </c>
      <c r="G491" s="6">
        <f>IFERROR(__xludf.DUMMYFUNCTION("""COMPUTED_VALUE"""),81.0)</f>
        <v>81</v>
      </c>
      <c r="H491" s="6">
        <f>IFERROR(__xludf.DUMMYFUNCTION("""COMPUTED_VALUE"""),1.0)</f>
        <v>1</v>
      </c>
      <c r="I491" s="6" t="str">
        <f>IFERROR(__xludf.DUMMYFUNCTION("""COMPUTED_VALUE"""),"Mobile")</f>
        <v>Mobile</v>
      </c>
      <c r="J491" s="6" t="str">
        <f>IFERROR(__xludf.DUMMYFUNCTION("""COMPUTED_VALUE"""),"India")</f>
        <v>India</v>
      </c>
      <c r="K491" s="6" t="str">
        <f>IFERROR(__xludf.DUMMYFUNCTION("""COMPUTED_VALUE"""),"Standard")</f>
        <v>Standard</v>
      </c>
      <c r="L491" s="6">
        <f>IFERROR(__xludf.DUMMYFUNCTION("""COMPUTED_VALUE"""),0.0)</f>
        <v>0</v>
      </c>
      <c r="M491" s="6" t="str">
        <f>IFERROR(__xludf.DUMMYFUNCTION("""COMPUTED_VALUE"""),"2023-03")</f>
        <v>2023-03</v>
      </c>
    </row>
    <row r="492">
      <c r="A492" s="6" t="str">
        <f>IFERROR(__xludf.DUMMYFUNCTION("""COMPUTED_VALUE"""),"b7bb4608-3731-4449-b7f3-85426659150a")</f>
        <v>b7bb4608-3731-4449-b7f3-85426659150a</v>
      </c>
      <c r="B492" s="6" t="str">
        <f>IFERROR(__xludf.DUMMYFUNCTION("""COMPUTED_VALUE"""),"d9879e7f-3c45-4c80-8cda-520b9aaf6a93")</f>
        <v>d9879e7f-3c45-4c80-8cda-520b9aaf6a93</v>
      </c>
      <c r="C492" s="7">
        <f>IFERROR(__xludf.DUMMYFUNCTION("""COMPUTED_VALUE"""),44952.0)</f>
        <v>44952</v>
      </c>
      <c r="D492" s="8">
        <f>IFERROR(__xludf.DUMMYFUNCTION("""COMPUTED_VALUE"""),6.6112549E7)</f>
        <v>66112549</v>
      </c>
      <c r="E492" s="6" t="str">
        <f>IFERROR(__xludf.DUMMYFUNCTION("""COMPUTED_VALUE"""),"SERIES")</f>
        <v>SERIES</v>
      </c>
      <c r="F492" s="6" t="str">
        <f>IFERROR(__xludf.DUMMYFUNCTION("""COMPUTED_VALUE"""),"Sci-Fi")</f>
        <v>Sci-Fi</v>
      </c>
      <c r="G492" s="6">
        <f>IFERROR(__xludf.DUMMYFUNCTION("""COMPUTED_VALUE"""),23.0)</f>
        <v>23</v>
      </c>
      <c r="H492" s="6">
        <f>IFERROR(__xludf.DUMMYFUNCTION("""COMPUTED_VALUE"""),1.0)</f>
        <v>1</v>
      </c>
      <c r="I492" s="6" t="str">
        <f>IFERROR(__xludf.DUMMYFUNCTION("""COMPUTED_VALUE"""),"Mobile")</f>
        <v>Mobile</v>
      </c>
      <c r="J492" s="6" t="str">
        <f>IFERROR(__xludf.DUMMYFUNCTION("""COMPUTED_VALUE"""),"France")</f>
        <v>France</v>
      </c>
      <c r="K492" s="6" t="str">
        <f>IFERROR(__xludf.DUMMYFUNCTION("""COMPUTED_VALUE"""),"Basic")</f>
        <v>Basic</v>
      </c>
      <c r="L492" s="6">
        <f>IFERROR(__xludf.DUMMYFUNCTION("""COMPUTED_VALUE"""),0.0)</f>
        <v>0</v>
      </c>
      <c r="M492" s="6" t="str">
        <f>IFERROR(__xludf.DUMMYFUNCTION("""COMPUTED_VALUE"""),"2023-01")</f>
        <v>2023-01</v>
      </c>
    </row>
    <row r="493">
      <c r="A493" s="6" t="str">
        <f>IFERROR(__xludf.DUMMYFUNCTION("""COMPUTED_VALUE"""),"dc07f940-909b-4b6c-be3f-7847525d00de")</f>
        <v>dc07f940-909b-4b6c-be3f-7847525d00de</v>
      </c>
      <c r="B493" s="6" t="str">
        <f>IFERROR(__xludf.DUMMYFUNCTION("""COMPUTED_VALUE"""),"d9d48a2c-9b5c-40cc-b6d6-f4967e014c36")</f>
        <v>d9d48a2c-9b5c-40cc-b6d6-f4967e014c36</v>
      </c>
      <c r="C493" s="7">
        <f>IFERROR(__xludf.DUMMYFUNCTION("""COMPUTED_VALUE"""),45280.0)</f>
        <v>45280</v>
      </c>
      <c r="D493" s="8">
        <f>IFERROR(__xludf.DUMMYFUNCTION("""COMPUTED_VALUE"""),8.8875231E7)</f>
        <v>88875231</v>
      </c>
      <c r="E493" s="6" t="str">
        <f>IFERROR(__xludf.DUMMYFUNCTION("""COMPUTED_VALUE"""),"DOCUMENTARY")</f>
        <v>DOCUMENTARY</v>
      </c>
      <c r="F493" s="6" t="str">
        <f>IFERROR(__xludf.DUMMYFUNCTION("""COMPUTED_VALUE"""),"Sci-Fi")</f>
        <v>Sci-Fi</v>
      </c>
      <c r="G493" s="6">
        <f>IFERROR(__xludf.DUMMYFUNCTION("""COMPUTED_VALUE"""),128.0)</f>
        <v>128</v>
      </c>
      <c r="H493" s="6">
        <f>IFERROR(__xludf.DUMMYFUNCTION("""COMPUTED_VALUE"""),0.0)</f>
        <v>0</v>
      </c>
      <c r="I493" s="6" t="str">
        <f>IFERROR(__xludf.DUMMYFUNCTION("""COMPUTED_VALUE"""),"Tablet")</f>
        <v>Tablet</v>
      </c>
      <c r="J493" s="6" t="str">
        <f>IFERROR(__xludf.DUMMYFUNCTION("""COMPUTED_VALUE"""),"India")</f>
        <v>India</v>
      </c>
      <c r="K493" s="6" t="str">
        <f>IFERROR(__xludf.DUMMYFUNCTION("""COMPUTED_VALUE"""),"Premium")</f>
        <v>Premium</v>
      </c>
      <c r="L493" s="6">
        <f>IFERROR(__xludf.DUMMYFUNCTION("""COMPUTED_VALUE"""),1.0)</f>
        <v>1</v>
      </c>
      <c r="M493" s="6" t="str">
        <f>IFERROR(__xludf.DUMMYFUNCTION("""COMPUTED_VALUE"""),"2023-12")</f>
        <v>2023-12</v>
      </c>
    </row>
    <row r="494">
      <c r="A494" s="6" t="str">
        <f>IFERROR(__xludf.DUMMYFUNCTION("""COMPUTED_VALUE"""),"70a090e1-063a-415d-b470-7de5d8a40e6b")</f>
        <v>70a090e1-063a-415d-b470-7de5d8a40e6b</v>
      </c>
      <c r="B494" s="6" t="str">
        <f>IFERROR(__xludf.DUMMYFUNCTION("""COMPUTED_VALUE"""),"dad90ba6-f330-431e-9f7a-50b0ef104421")</f>
        <v>dad90ba6-f330-431e-9f7a-50b0ef104421</v>
      </c>
      <c r="C494" s="7">
        <f>IFERROR(__xludf.DUMMYFUNCTION("""COMPUTED_VALUE"""),45196.0)</f>
        <v>45196</v>
      </c>
      <c r="D494" s="8">
        <f>IFERROR(__xludf.DUMMYFUNCTION("""COMPUTED_VALUE"""),7.0420784E7)</f>
        <v>70420784</v>
      </c>
      <c r="E494" s="6" t="str">
        <f>IFERROR(__xludf.DUMMYFUNCTION("""COMPUTED_VALUE"""),"SERIES")</f>
        <v>SERIES</v>
      </c>
      <c r="F494" s="6" t="str">
        <f>IFERROR(__xludf.DUMMYFUNCTION("""COMPUTED_VALUE"""),"Action")</f>
        <v>Action</v>
      </c>
      <c r="G494" s="6">
        <f>IFERROR(__xludf.DUMMYFUNCTION("""COMPUTED_VALUE"""),10.0)</f>
        <v>10</v>
      </c>
      <c r="H494" s="6">
        <f>IFERROR(__xludf.DUMMYFUNCTION("""COMPUTED_VALUE"""),0.0)</f>
        <v>0</v>
      </c>
      <c r="I494" s="6" t="str">
        <f>IFERROR(__xludf.DUMMYFUNCTION("""COMPUTED_VALUE"""),"Desktop")</f>
        <v>Desktop</v>
      </c>
      <c r="J494" s="6" t="str">
        <f>IFERROR(__xludf.DUMMYFUNCTION("""COMPUTED_VALUE"""),"Germany")</f>
        <v>Germany</v>
      </c>
      <c r="K494" s="6" t="str">
        <f>IFERROR(__xludf.DUMMYFUNCTION("""COMPUTED_VALUE"""),"Basic")</f>
        <v>Basic</v>
      </c>
      <c r="L494" s="6">
        <f>IFERROR(__xludf.DUMMYFUNCTION("""COMPUTED_VALUE"""),1.0)</f>
        <v>1</v>
      </c>
      <c r="M494" s="6" t="str">
        <f>IFERROR(__xludf.DUMMYFUNCTION("""COMPUTED_VALUE"""),"2023-09")</f>
        <v>2023-09</v>
      </c>
    </row>
    <row r="495">
      <c r="A495" s="6" t="str">
        <f>IFERROR(__xludf.DUMMYFUNCTION("""COMPUTED_VALUE"""),"27cdf6d1-a3cc-499f-b06f-a5328b20c56f")</f>
        <v>27cdf6d1-a3cc-499f-b06f-a5328b20c56f</v>
      </c>
      <c r="B495" s="6" t="str">
        <f>IFERROR(__xludf.DUMMYFUNCTION("""COMPUTED_VALUE"""),"dae372ec-c3ff-4deb-879c-92cff89ce0ee")</f>
        <v>dae372ec-c3ff-4deb-879c-92cff89ce0ee</v>
      </c>
      <c r="C495" s="7">
        <f>IFERROR(__xludf.DUMMYFUNCTION("""COMPUTED_VALUE"""),45144.0)</f>
        <v>45144</v>
      </c>
      <c r="D495" s="8">
        <f>IFERROR(__xludf.DUMMYFUNCTION("""COMPUTED_VALUE"""),7.0182019E7)</f>
        <v>70182019</v>
      </c>
      <c r="E495" s="6" t="str">
        <f>IFERROR(__xludf.DUMMYFUNCTION("""COMPUTED_VALUE"""),"MOVIE")</f>
        <v>MOVIE</v>
      </c>
      <c r="F495" s="6" t="str">
        <f>IFERROR(__xludf.DUMMYFUNCTION("""COMPUTED_VALUE"""),"Sci-Fi")</f>
        <v>Sci-Fi</v>
      </c>
      <c r="G495" s="6">
        <f>IFERROR(__xludf.DUMMYFUNCTION("""COMPUTED_VALUE"""),48.0)</f>
        <v>48</v>
      </c>
      <c r="H495" s="6">
        <f>IFERROR(__xludf.DUMMYFUNCTION("""COMPUTED_VALUE"""),1.0)</f>
        <v>1</v>
      </c>
      <c r="I495" s="6" t="str">
        <f>IFERROR(__xludf.DUMMYFUNCTION("""COMPUTED_VALUE"""),"Mobile")</f>
        <v>Mobile</v>
      </c>
      <c r="J495" s="6" t="str">
        <f>IFERROR(__xludf.DUMMYFUNCTION("""COMPUTED_VALUE"""),"India")</f>
        <v>India</v>
      </c>
      <c r="K495" s="6" t="str">
        <f>IFERROR(__xludf.DUMMYFUNCTION("""COMPUTED_VALUE"""),"Basic")</f>
        <v>Basic</v>
      </c>
      <c r="L495" s="6">
        <f>IFERROR(__xludf.DUMMYFUNCTION("""COMPUTED_VALUE"""),0.0)</f>
        <v>0</v>
      </c>
      <c r="M495" s="6" t="str">
        <f>IFERROR(__xludf.DUMMYFUNCTION("""COMPUTED_VALUE"""),"2023-08")</f>
        <v>2023-08</v>
      </c>
    </row>
    <row r="496">
      <c r="A496" s="6" t="str">
        <f>IFERROR(__xludf.DUMMYFUNCTION("""COMPUTED_VALUE"""),"74e0420a-ccca-44df-a4e6-0c17b95a9bfb")</f>
        <v>74e0420a-ccca-44df-a4e6-0c17b95a9bfb</v>
      </c>
      <c r="B496" s="6" t="str">
        <f>IFERROR(__xludf.DUMMYFUNCTION("""COMPUTED_VALUE"""),"db05b8cb-99fb-4141-b450-5cda560aa7ee")</f>
        <v>db05b8cb-99fb-4141-b450-5cda560aa7ee</v>
      </c>
      <c r="C496" s="7">
        <f>IFERROR(__xludf.DUMMYFUNCTION("""COMPUTED_VALUE"""),45163.0)</f>
        <v>45163</v>
      </c>
      <c r="D496" s="8">
        <f>IFERROR(__xludf.DUMMYFUNCTION("""COMPUTED_VALUE"""),9.6012611E7)</f>
        <v>96012611</v>
      </c>
      <c r="E496" s="6" t="str">
        <f>IFERROR(__xludf.DUMMYFUNCTION("""COMPUTED_VALUE"""),"SERIES")</f>
        <v>SERIES</v>
      </c>
      <c r="F496" s="6" t="str">
        <f>IFERROR(__xludf.DUMMYFUNCTION("""COMPUTED_VALUE"""),"Drama")</f>
        <v>Drama</v>
      </c>
      <c r="G496" s="6">
        <f>IFERROR(__xludf.DUMMYFUNCTION("""COMPUTED_VALUE"""),119.0)</f>
        <v>119</v>
      </c>
      <c r="H496" s="6">
        <f>IFERROR(__xludf.DUMMYFUNCTION("""COMPUTED_VALUE"""),1.0)</f>
        <v>1</v>
      </c>
      <c r="I496" s="6" t="str">
        <f>IFERROR(__xludf.DUMMYFUNCTION("""COMPUTED_VALUE"""),"Mobile")</f>
        <v>Mobile</v>
      </c>
      <c r="J496" s="6" t="str">
        <f>IFERROR(__xludf.DUMMYFUNCTION("""COMPUTED_VALUE"""),"Uk")</f>
        <v>Uk</v>
      </c>
      <c r="K496" s="6" t="str">
        <f>IFERROR(__xludf.DUMMYFUNCTION("""COMPUTED_VALUE"""),"Standard")</f>
        <v>Standard</v>
      </c>
      <c r="L496" s="6">
        <f>IFERROR(__xludf.DUMMYFUNCTION("""COMPUTED_VALUE"""),0.0)</f>
        <v>0</v>
      </c>
      <c r="M496" s="6" t="str">
        <f>IFERROR(__xludf.DUMMYFUNCTION("""COMPUTED_VALUE"""),"2023-08")</f>
        <v>2023-08</v>
      </c>
    </row>
    <row r="497">
      <c r="A497" s="6" t="str">
        <f>IFERROR(__xludf.DUMMYFUNCTION("""COMPUTED_VALUE"""),"32cf9513-2e1c-49e7-9333-7bb7168c3202")</f>
        <v>32cf9513-2e1c-49e7-9333-7bb7168c3202</v>
      </c>
      <c r="B497" s="6" t="str">
        <f>IFERROR(__xludf.DUMMYFUNCTION("""COMPUTED_VALUE"""),"db19c9cb-b091-4476-90eb-d333ef2a538e")</f>
        <v>db19c9cb-b091-4476-90eb-d333ef2a538e</v>
      </c>
      <c r="C497" s="7">
        <f>IFERROR(__xludf.DUMMYFUNCTION("""COMPUTED_VALUE"""),44987.0)</f>
        <v>44987</v>
      </c>
      <c r="D497" s="8">
        <f>IFERROR(__xludf.DUMMYFUNCTION("""COMPUTED_VALUE"""),2.9964529E7)</f>
        <v>29964529</v>
      </c>
      <c r="E497" s="6" t="str">
        <f>IFERROR(__xludf.DUMMYFUNCTION("""COMPUTED_VALUE"""),"SERIES")</f>
        <v>SERIES</v>
      </c>
      <c r="F497" s="6" t="str">
        <f>IFERROR(__xludf.DUMMYFUNCTION("""COMPUTED_VALUE"""),"Sci-Fi")</f>
        <v>Sci-Fi</v>
      </c>
      <c r="G497" s="6">
        <f>IFERROR(__xludf.DUMMYFUNCTION("""COMPUTED_VALUE"""),42.0)</f>
        <v>42</v>
      </c>
      <c r="H497" s="6">
        <f>IFERROR(__xludf.DUMMYFUNCTION("""COMPUTED_VALUE"""),1.0)</f>
        <v>1</v>
      </c>
      <c r="I497" s="6" t="str">
        <f>IFERROR(__xludf.DUMMYFUNCTION("""COMPUTED_VALUE"""),"Mobile")</f>
        <v>Mobile</v>
      </c>
      <c r="J497" s="6" t="str">
        <f>IFERROR(__xludf.DUMMYFUNCTION("""COMPUTED_VALUE"""),"Usa")</f>
        <v>Usa</v>
      </c>
      <c r="K497" s="6" t="str">
        <f>IFERROR(__xludf.DUMMYFUNCTION("""COMPUTED_VALUE"""),"Premium")</f>
        <v>Premium</v>
      </c>
      <c r="L497" s="6">
        <f>IFERROR(__xludf.DUMMYFUNCTION("""COMPUTED_VALUE"""),0.0)</f>
        <v>0</v>
      </c>
      <c r="M497" s="6" t="str">
        <f>IFERROR(__xludf.DUMMYFUNCTION("""COMPUTED_VALUE"""),"2023-03")</f>
        <v>2023-03</v>
      </c>
    </row>
    <row r="498">
      <c r="A498" s="6" t="str">
        <f>IFERROR(__xludf.DUMMYFUNCTION("""COMPUTED_VALUE"""),"69a4e195-7c15-4228-804d-e8e941f2eda4")</f>
        <v>69a4e195-7c15-4228-804d-e8e941f2eda4</v>
      </c>
      <c r="B498" s="6" t="str">
        <f>IFERROR(__xludf.DUMMYFUNCTION("""COMPUTED_VALUE"""),"db39ae44-c79c-4835-b2a7-3453074861a4")</f>
        <v>db39ae44-c79c-4835-b2a7-3453074861a4</v>
      </c>
      <c r="C498" s="7">
        <f>IFERROR(__xludf.DUMMYFUNCTION("""COMPUTED_VALUE"""),45220.0)</f>
        <v>45220</v>
      </c>
      <c r="D498" s="8">
        <f>IFERROR(__xludf.DUMMYFUNCTION("""COMPUTED_VALUE"""),9.8491704E7)</f>
        <v>98491704</v>
      </c>
      <c r="E498" s="6" t="str">
        <f>IFERROR(__xludf.DUMMYFUNCTION("""COMPUTED_VALUE"""),"SERIES")</f>
        <v>SERIES</v>
      </c>
      <c r="F498" s="6" t="str">
        <f>IFERROR(__xludf.DUMMYFUNCTION("""COMPUTED_VALUE"""),"Action")</f>
        <v>Action</v>
      </c>
      <c r="G498" s="6">
        <f>IFERROR(__xludf.DUMMYFUNCTION("""COMPUTED_VALUE"""),18.0)</f>
        <v>18</v>
      </c>
      <c r="H498" s="6">
        <f>IFERROR(__xludf.DUMMYFUNCTION("""COMPUTED_VALUE"""),1.0)</f>
        <v>1</v>
      </c>
      <c r="I498" s="6" t="str">
        <f>IFERROR(__xludf.DUMMYFUNCTION("""COMPUTED_VALUE"""),"Mobile")</f>
        <v>Mobile</v>
      </c>
      <c r="J498" s="6" t="str">
        <f>IFERROR(__xludf.DUMMYFUNCTION("""COMPUTED_VALUE"""),"Usa")</f>
        <v>Usa</v>
      </c>
      <c r="K498" s="6" t="str">
        <f>IFERROR(__xludf.DUMMYFUNCTION("""COMPUTED_VALUE"""),"Premium")</f>
        <v>Premium</v>
      </c>
      <c r="L498" s="6">
        <f>IFERROR(__xludf.DUMMYFUNCTION("""COMPUTED_VALUE"""),0.0)</f>
        <v>0</v>
      </c>
      <c r="M498" s="6" t="str">
        <f>IFERROR(__xludf.DUMMYFUNCTION("""COMPUTED_VALUE"""),"2023-10")</f>
        <v>2023-10</v>
      </c>
    </row>
    <row r="499">
      <c r="A499" s="6" t="str">
        <f>IFERROR(__xludf.DUMMYFUNCTION("""COMPUTED_VALUE"""),"ce3a6647-4371-4cf1-8ee7-aed3f04abb9d")</f>
        <v>ce3a6647-4371-4cf1-8ee7-aed3f04abb9d</v>
      </c>
      <c r="B499" s="6" t="str">
        <f>IFERROR(__xludf.DUMMYFUNCTION("""COMPUTED_VALUE"""),"db410c2e-3aec-435b-a24e-05ffdd79c474")</f>
        <v>db410c2e-3aec-435b-a24e-05ffdd79c474</v>
      </c>
      <c r="C499" s="7">
        <f>IFERROR(__xludf.DUMMYFUNCTION("""COMPUTED_VALUE"""),45082.0)</f>
        <v>45082</v>
      </c>
      <c r="D499" s="8">
        <f>IFERROR(__xludf.DUMMYFUNCTION("""COMPUTED_VALUE"""),6.8975876E7)</f>
        <v>68975876</v>
      </c>
      <c r="E499" s="6" t="str">
        <f>IFERROR(__xludf.DUMMYFUNCTION("""COMPUTED_VALUE"""),"DOCUMENTARY")</f>
        <v>DOCUMENTARY</v>
      </c>
      <c r="F499" s="6" t="str">
        <f>IFERROR(__xludf.DUMMYFUNCTION("""COMPUTED_VALUE"""),"Sci-Fi")</f>
        <v>Sci-Fi</v>
      </c>
      <c r="G499" s="6">
        <f>IFERROR(__xludf.DUMMYFUNCTION("""COMPUTED_VALUE"""),64.0)</f>
        <v>64</v>
      </c>
      <c r="H499" s="6">
        <f>IFERROR(__xludf.DUMMYFUNCTION("""COMPUTED_VALUE"""),0.0)</f>
        <v>0</v>
      </c>
      <c r="I499" s="6" t="str">
        <f>IFERROR(__xludf.DUMMYFUNCTION("""COMPUTED_VALUE"""),"Tablet")</f>
        <v>Tablet</v>
      </c>
      <c r="J499" s="6" t="str">
        <f>IFERROR(__xludf.DUMMYFUNCTION("""COMPUTED_VALUE"""),"France")</f>
        <v>France</v>
      </c>
      <c r="K499" s="6" t="str">
        <f>IFERROR(__xludf.DUMMYFUNCTION("""COMPUTED_VALUE"""),"Basic")</f>
        <v>Basic</v>
      </c>
      <c r="L499" s="6">
        <f>IFERROR(__xludf.DUMMYFUNCTION("""COMPUTED_VALUE"""),0.0)</f>
        <v>0</v>
      </c>
      <c r="M499" s="6" t="str">
        <f>IFERROR(__xludf.DUMMYFUNCTION("""COMPUTED_VALUE"""),"2023-06")</f>
        <v>2023-06</v>
      </c>
    </row>
    <row r="500">
      <c r="A500" s="6" t="str">
        <f>IFERROR(__xludf.DUMMYFUNCTION("""COMPUTED_VALUE"""),"a9f2a42b-8cee-48d6-a1d2-191a09f5f7ab")</f>
        <v>a9f2a42b-8cee-48d6-a1d2-191a09f5f7ab</v>
      </c>
      <c r="B500" s="6" t="str">
        <f>IFERROR(__xludf.DUMMYFUNCTION("""COMPUTED_VALUE"""),"dc36bdce-2a1a-4b21-8944-9a97fa7a14b0")</f>
        <v>dc36bdce-2a1a-4b21-8944-9a97fa7a14b0</v>
      </c>
      <c r="C500" s="7">
        <f>IFERROR(__xludf.DUMMYFUNCTION("""COMPUTED_VALUE"""),45105.0)</f>
        <v>45105</v>
      </c>
      <c r="D500" s="8">
        <f>IFERROR(__xludf.DUMMYFUNCTION("""COMPUTED_VALUE"""),3.563162E7)</f>
        <v>35631620</v>
      </c>
      <c r="E500" s="6" t="str">
        <f>IFERROR(__xludf.DUMMYFUNCTION("""COMPUTED_VALUE"""),"MOVIE")</f>
        <v>MOVIE</v>
      </c>
      <c r="F500" s="6" t="str">
        <f>IFERROR(__xludf.DUMMYFUNCTION("""COMPUTED_VALUE"""),"Comedy")</f>
        <v>Comedy</v>
      </c>
      <c r="G500" s="6">
        <f>IFERROR(__xludf.DUMMYFUNCTION("""COMPUTED_VALUE"""),34.0)</f>
        <v>34</v>
      </c>
      <c r="H500" s="6">
        <f>IFERROR(__xludf.DUMMYFUNCTION("""COMPUTED_VALUE"""),0.0)</f>
        <v>0</v>
      </c>
      <c r="I500" s="6" t="str">
        <f>IFERROR(__xludf.DUMMYFUNCTION("""COMPUTED_VALUE"""),"Desktop")</f>
        <v>Desktop</v>
      </c>
      <c r="J500" s="6" t="str">
        <f>IFERROR(__xludf.DUMMYFUNCTION("""COMPUTED_VALUE"""),"Usa")</f>
        <v>Usa</v>
      </c>
      <c r="K500" s="6" t="str">
        <f>IFERROR(__xludf.DUMMYFUNCTION("""COMPUTED_VALUE"""),"Standard")</f>
        <v>Standard</v>
      </c>
      <c r="L500" s="6">
        <f>IFERROR(__xludf.DUMMYFUNCTION("""COMPUTED_VALUE"""),0.0)</f>
        <v>0</v>
      </c>
      <c r="M500" s="6" t="str">
        <f>IFERROR(__xludf.DUMMYFUNCTION("""COMPUTED_VALUE"""),"2023-06")</f>
        <v>2023-06</v>
      </c>
    </row>
    <row r="501">
      <c r="A501" s="6" t="str">
        <f>IFERROR(__xludf.DUMMYFUNCTION("""COMPUTED_VALUE"""),"5fc75d52-33cc-4c76-a228-186dc698782e")</f>
        <v>5fc75d52-33cc-4c76-a228-186dc698782e</v>
      </c>
      <c r="B501" s="6" t="str">
        <f>IFERROR(__xludf.DUMMYFUNCTION("""COMPUTED_VALUE"""),"dc5579d1-0da8-48d9-97b7-7eb1d5f66f3e")</f>
        <v>dc5579d1-0da8-48d9-97b7-7eb1d5f66f3e</v>
      </c>
      <c r="C501" s="7">
        <f>IFERROR(__xludf.DUMMYFUNCTION("""COMPUTED_VALUE"""),44963.0)</f>
        <v>44963</v>
      </c>
      <c r="D501" s="8">
        <f>IFERROR(__xludf.DUMMYFUNCTION("""COMPUTED_VALUE"""),8.3760013E7)</f>
        <v>83760013</v>
      </c>
      <c r="E501" s="6" t="str">
        <f>IFERROR(__xludf.DUMMYFUNCTION("""COMPUTED_VALUE"""),"DOCUMENTARY")</f>
        <v>DOCUMENTARY</v>
      </c>
      <c r="F501" s="6" t="str">
        <f>IFERROR(__xludf.DUMMYFUNCTION("""COMPUTED_VALUE"""),"Thriller")</f>
        <v>Thriller</v>
      </c>
      <c r="G501" s="6">
        <f>IFERROR(__xludf.DUMMYFUNCTION("""COMPUTED_VALUE"""),179.0)</f>
        <v>179</v>
      </c>
      <c r="H501" s="6">
        <f>IFERROR(__xludf.DUMMYFUNCTION("""COMPUTED_VALUE"""),0.0)</f>
        <v>0</v>
      </c>
      <c r="I501" s="6" t="str">
        <f>IFERROR(__xludf.DUMMYFUNCTION("""COMPUTED_VALUE"""),"Smart Tv")</f>
        <v>Smart Tv</v>
      </c>
      <c r="J501" s="6" t="str">
        <f>IFERROR(__xludf.DUMMYFUNCTION("""COMPUTED_VALUE"""),"Germany")</f>
        <v>Germany</v>
      </c>
      <c r="K501" s="6" t="str">
        <f>IFERROR(__xludf.DUMMYFUNCTION("""COMPUTED_VALUE"""),"Basic")</f>
        <v>Basic</v>
      </c>
      <c r="L501" s="6">
        <f>IFERROR(__xludf.DUMMYFUNCTION("""COMPUTED_VALUE"""),0.0)</f>
        <v>0</v>
      </c>
      <c r="M501" s="6" t="str">
        <f>IFERROR(__xludf.DUMMYFUNCTION("""COMPUTED_VALUE"""),"2023-02")</f>
        <v>2023-02</v>
      </c>
    </row>
    <row r="502">
      <c r="A502" s="6" t="str">
        <f>IFERROR(__xludf.DUMMYFUNCTION("""COMPUTED_VALUE"""),"5e30e4c3-daee-467f-b178-d8c2185a1334")</f>
        <v>5e30e4c3-daee-467f-b178-d8c2185a1334</v>
      </c>
      <c r="B502" s="6" t="str">
        <f>IFERROR(__xludf.DUMMYFUNCTION("""COMPUTED_VALUE"""),"dcfa0426-8c43-40c2-a229-68f34e117080")</f>
        <v>dcfa0426-8c43-40c2-a229-68f34e117080</v>
      </c>
      <c r="C502" s="7">
        <f>IFERROR(__xludf.DUMMYFUNCTION("""COMPUTED_VALUE"""),45118.0)</f>
        <v>45118</v>
      </c>
      <c r="D502" s="8">
        <f>IFERROR(__xludf.DUMMYFUNCTION("""COMPUTED_VALUE"""),3.7168544E7)</f>
        <v>37168544</v>
      </c>
      <c r="E502" s="6" t="str">
        <f>IFERROR(__xludf.DUMMYFUNCTION("""COMPUTED_VALUE"""),"DOCUMENTARY")</f>
        <v>DOCUMENTARY</v>
      </c>
      <c r="F502" s="6" t="str">
        <f>IFERROR(__xludf.DUMMYFUNCTION("""COMPUTED_VALUE"""),"Sci-Fi")</f>
        <v>Sci-Fi</v>
      </c>
      <c r="G502" s="6">
        <f>IFERROR(__xludf.DUMMYFUNCTION("""COMPUTED_VALUE"""),163.0)</f>
        <v>163</v>
      </c>
      <c r="H502" s="6">
        <f>IFERROR(__xludf.DUMMYFUNCTION("""COMPUTED_VALUE"""),0.0)</f>
        <v>0</v>
      </c>
      <c r="I502" s="6" t="str">
        <f>IFERROR(__xludf.DUMMYFUNCTION("""COMPUTED_VALUE"""),"Mobile")</f>
        <v>Mobile</v>
      </c>
      <c r="J502" s="6" t="str">
        <f>IFERROR(__xludf.DUMMYFUNCTION("""COMPUTED_VALUE"""),"Germany")</f>
        <v>Germany</v>
      </c>
      <c r="K502" s="6" t="str">
        <f>IFERROR(__xludf.DUMMYFUNCTION("""COMPUTED_VALUE"""),"Basic")</f>
        <v>Basic</v>
      </c>
      <c r="L502" s="6">
        <f>IFERROR(__xludf.DUMMYFUNCTION("""COMPUTED_VALUE"""),0.0)</f>
        <v>0</v>
      </c>
      <c r="M502" s="6" t="str">
        <f>IFERROR(__xludf.DUMMYFUNCTION("""COMPUTED_VALUE"""),"2023-07")</f>
        <v>2023-07</v>
      </c>
    </row>
    <row r="503">
      <c r="A503" s="6" t="str">
        <f>IFERROR(__xludf.DUMMYFUNCTION("""COMPUTED_VALUE"""),"f5f19325-59df-4212-aabe-dc75c6d422b2")</f>
        <v>f5f19325-59df-4212-aabe-dc75c6d422b2</v>
      </c>
      <c r="B503" s="6" t="str">
        <f>IFERROR(__xludf.DUMMYFUNCTION("""COMPUTED_VALUE"""),"dd76699d-426d-4098-befd-b0f2eccfe087")</f>
        <v>dd76699d-426d-4098-befd-b0f2eccfe087</v>
      </c>
      <c r="C503" s="7">
        <f>IFERROR(__xludf.DUMMYFUNCTION("""COMPUTED_VALUE"""),45232.0)</f>
        <v>45232</v>
      </c>
      <c r="D503" s="8">
        <f>IFERROR(__xludf.DUMMYFUNCTION("""COMPUTED_VALUE"""),9.851371E7)</f>
        <v>98513710</v>
      </c>
      <c r="E503" s="6" t="str">
        <f>IFERROR(__xludf.DUMMYFUNCTION("""COMPUTED_VALUE"""),"MOVIE")</f>
        <v>MOVIE</v>
      </c>
      <c r="F503" s="6" t="str">
        <f>IFERROR(__xludf.DUMMYFUNCTION("""COMPUTED_VALUE"""),"Thriller")</f>
        <v>Thriller</v>
      </c>
      <c r="G503" s="6">
        <f>IFERROR(__xludf.DUMMYFUNCTION("""COMPUTED_VALUE"""),124.0)</f>
        <v>124</v>
      </c>
      <c r="H503" s="6">
        <f>IFERROR(__xludf.DUMMYFUNCTION("""COMPUTED_VALUE"""),1.0)</f>
        <v>1</v>
      </c>
      <c r="I503" s="6" t="str">
        <f>IFERROR(__xludf.DUMMYFUNCTION("""COMPUTED_VALUE"""),"Desktop")</f>
        <v>Desktop</v>
      </c>
      <c r="J503" s="6" t="str">
        <f>IFERROR(__xludf.DUMMYFUNCTION("""COMPUTED_VALUE"""),"Germany")</f>
        <v>Germany</v>
      </c>
      <c r="K503" s="6" t="str">
        <f>IFERROR(__xludf.DUMMYFUNCTION("""COMPUTED_VALUE"""),"Premium")</f>
        <v>Premium</v>
      </c>
      <c r="L503" s="6">
        <f>IFERROR(__xludf.DUMMYFUNCTION("""COMPUTED_VALUE"""),0.0)</f>
        <v>0</v>
      </c>
      <c r="M503" s="6" t="str">
        <f>IFERROR(__xludf.DUMMYFUNCTION("""COMPUTED_VALUE"""),"2023-11")</f>
        <v>2023-11</v>
      </c>
    </row>
    <row r="504">
      <c r="A504" s="6" t="str">
        <f>IFERROR(__xludf.DUMMYFUNCTION("""COMPUTED_VALUE"""),"35c8e688-9c97-4417-9c18-676034c9b3f5")</f>
        <v>35c8e688-9c97-4417-9c18-676034c9b3f5</v>
      </c>
      <c r="B504" s="6" t="str">
        <f>IFERROR(__xludf.DUMMYFUNCTION("""COMPUTED_VALUE"""),"ddb450cc-ff73-4758-a1d7-915fc3f7805a")</f>
        <v>ddb450cc-ff73-4758-a1d7-915fc3f7805a</v>
      </c>
      <c r="C504" s="7">
        <f>IFERROR(__xludf.DUMMYFUNCTION("""COMPUTED_VALUE"""),45207.0)</f>
        <v>45207</v>
      </c>
      <c r="D504" s="8">
        <f>IFERROR(__xludf.DUMMYFUNCTION("""COMPUTED_VALUE"""),5.157822E7)</f>
        <v>51578220</v>
      </c>
      <c r="E504" s="6" t="str">
        <f>IFERROR(__xludf.DUMMYFUNCTION("""COMPUTED_VALUE"""),"SERIES")</f>
        <v>SERIES</v>
      </c>
      <c r="F504" s="6" t="str">
        <f>IFERROR(__xludf.DUMMYFUNCTION("""COMPUTED_VALUE"""),"Thriller")</f>
        <v>Thriller</v>
      </c>
      <c r="G504" s="6">
        <f>IFERROR(__xludf.DUMMYFUNCTION("""COMPUTED_VALUE"""),158.0)</f>
        <v>158</v>
      </c>
      <c r="H504" s="6">
        <f>IFERROR(__xludf.DUMMYFUNCTION("""COMPUTED_VALUE"""),0.0)</f>
        <v>0</v>
      </c>
      <c r="I504" s="6" t="str">
        <f>IFERROR(__xludf.DUMMYFUNCTION("""COMPUTED_VALUE"""),"Tablet")</f>
        <v>Tablet</v>
      </c>
      <c r="J504" s="6" t="str">
        <f>IFERROR(__xludf.DUMMYFUNCTION("""COMPUTED_VALUE"""),"France")</f>
        <v>France</v>
      </c>
      <c r="K504" s="6" t="str">
        <f>IFERROR(__xludf.DUMMYFUNCTION("""COMPUTED_VALUE"""),"Premium")</f>
        <v>Premium</v>
      </c>
      <c r="L504" s="6">
        <f>IFERROR(__xludf.DUMMYFUNCTION("""COMPUTED_VALUE"""),0.0)</f>
        <v>0</v>
      </c>
      <c r="M504" s="6" t="str">
        <f>IFERROR(__xludf.DUMMYFUNCTION("""COMPUTED_VALUE"""),"2023-10")</f>
        <v>2023-10</v>
      </c>
    </row>
    <row r="505">
      <c r="A505" s="6" t="str">
        <f>IFERROR(__xludf.DUMMYFUNCTION("""COMPUTED_VALUE"""),"02d41c01-e6cb-4e52-9089-56c06a54b593")</f>
        <v>02d41c01-e6cb-4e52-9089-56c06a54b593</v>
      </c>
      <c r="B505" s="6" t="str">
        <f>IFERROR(__xludf.DUMMYFUNCTION("""COMPUTED_VALUE"""),"def7f2a7-0259-46d8-a5c3-bd24b0a253d5")</f>
        <v>def7f2a7-0259-46d8-a5c3-bd24b0a253d5</v>
      </c>
      <c r="C505" s="7">
        <f>IFERROR(__xludf.DUMMYFUNCTION("""COMPUTED_VALUE"""),45078.0)</f>
        <v>45078</v>
      </c>
      <c r="D505" s="8">
        <f>IFERROR(__xludf.DUMMYFUNCTION("""COMPUTED_VALUE"""),6.3625486E7)</f>
        <v>63625486</v>
      </c>
      <c r="E505" s="6" t="str">
        <f>IFERROR(__xludf.DUMMYFUNCTION("""COMPUTED_VALUE"""),"DOCUMENTARY")</f>
        <v>DOCUMENTARY</v>
      </c>
      <c r="F505" s="6" t="str">
        <f>IFERROR(__xludf.DUMMYFUNCTION("""COMPUTED_VALUE"""),"Thriller")</f>
        <v>Thriller</v>
      </c>
      <c r="G505" s="6">
        <f>IFERROR(__xludf.DUMMYFUNCTION("""COMPUTED_VALUE"""),127.0)</f>
        <v>127</v>
      </c>
      <c r="H505" s="6">
        <f>IFERROR(__xludf.DUMMYFUNCTION("""COMPUTED_VALUE"""),1.0)</f>
        <v>1</v>
      </c>
      <c r="I505" s="6" t="str">
        <f>IFERROR(__xludf.DUMMYFUNCTION("""COMPUTED_VALUE"""),"Desktop")</f>
        <v>Desktop</v>
      </c>
      <c r="J505" s="6" t="str">
        <f>IFERROR(__xludf.DUMMYFUNCTION("""COMPUTED_VALUE"""),"Usa")</f>
        <v>Usa</v>
      </c>
      <c r="K505" s="6" t="str">
        <f>IFERROR(__xludf.DUMMYFUNCTION("""COMPUTED_VALUE"""),"Standard")</f>
        <v>Standard</v>
      </c>
      <c r="L505" s="6">
        <f>IFERROR(__xludf.DUMMYFUNCTION("""COMPUTED_VALUE"""),0.0)</f>
        <v>0</v>
      </c>
      <c r="M505" s="6" t="str">
        <f>IFERROR(__xludf.DUMMYFUNCTION("""COMPUTED_VALUE"""),"2023-06")</f>
        <v>2023-06</v>
      </c>
    </row>
    <row r="506">
      <c r="A506" s="6" t="str">
        <f>IFERROR(__xludf.DUMMYFUNCTION("""COMPUTED_VALUE"""),"dbe5f8a1-3846-4e03-bc68-40cd8e99a492")</f>
        <v>dbe5f8a1-3846-4e03-bc68-40cd8e99a492</v>
      </c>
      <c r="B506" s="6" t="str">
        <f>IFERROR(__xludf.DUMMYFUNCTION("""COMPUTED_VALUE"""),"df0949fd-21f4-448f-b381-999bce334eef")</f>
        <v>df0949fd-21f4-448f-b381-999bce334eef</v>
      </c>
      <c r="C506" s="7">
        <f>IFERROR(__xludf.DUMMYFUNCTION("""COMPUTED_VALUE"""),44982.0)</f>
        <v>44982</v>
      </c>
      <c r="D506" s="8">
        <f>IFERROR(__xludf.DUMMYFUNCTION("""COMPUTED_VALUE"""),2.8638926E7)</f>
        <v>28638926</v>
      </c>
      <c r="E506" s="6" t="str">
        <f>IFERROR(__xludf.DUMMYFUNCTION("""COMPUTED_VALUE"""),"DOCUMENTARY")</f>
        <v>DOCUMENTARY</v>
      </c>
      <c r="F506" s="6" t="str">
        <f>IFERROR(__xludf.DUMMYFUNCTION("""COMPUTED_VALUE"""),"Action")</f>
        <v>Action</v>
      </c>
      <c r="G506" s="6">
        <f>IFERROR(__xludf.DUMMYFUNCTION("""COMPUTED_VALUE"""),45.0)</f>
        <v>45</v>
      </c>
      <c r="H506" s="6">
        <f>IFERROR(__xludf.DUMMYFUNCTION("""COMPUTED_VALUE"""),1.0)</f>
        <v>1</v>
      </c>
      <c r="I506" s="6" t="str">
        <f>IFERROR(__xludf.DUMMYFUNCTION("""COMPUTED_VALUE"""),"Mobile")</f>
        <v>Mobile</v>
      </c>
      <c r="J506" s="6" t="str">
        <f>IFERROR(__xludf.DUMMYFUNCTION("""COMPUTED_VALUE"""),"Germany")</f>
        <v>Germany</v>
      </c>
      <c r="K506" s="6" t="str">
        <f>IFERROR(__xludf.DUMMYFUNCTION("""COMPUTED_VALUE"""),"Standard")</f>
        <v>Standard</v>
      </c>
      <c r="L506" s="6">
        <f>IFERROR(__xludf.DUMMYFUNCTION("""COMPUTED_VALUE"""),0.0)</f>
        <v>0</v>
      </c>
      <c r="M506" s="6" t="str">
        <f>IFERROR(__xludf.DUMMYFUNCTION("""COMPUTED_VALUE"""),"2023-02")</f>
        <v>2023-02</v>
      </c>
    </row>
    <row r="507">
      <c r="A507" s="6" t="str">
        <f>IFERROR(__xludf.DUMMYFUNCTION("""COMPUTED_VALUE"""),"197dfe22-8c35-41a7-9862-82718f193410")</f>
        <v>197dfe22-8c35-41a7-9862-82718f193410</v>
      </c>
      <c r="B507" s="6" t="str">
        <f>IFERROR(__xludf.DUMMYFUNCTION("""COMPUTED_VALUE"""),"df0bc03b-14c5-449c-b317-e30b66c25709")</f>
        <v>df0bc03b-14c5-449c-b317-e30b66c25709</v>
      </c>
      <c r="C507" s="7">
        <f>IFERROR(__xludf.DUMMYFUNCTION("""COMPUTED_VALUE"""),44989.0)</f>
        <v>44989</v>
      </c>
      <c r="D507" s="8">
        <f>IFERROR(__xludf.DUMMYFUNCTION("""COMPUTED_VALUE"""),9855083.0)</f>
        <v>9855083</v>
      </c>
      <c r="E507" s="6" t="str">
        <f>IFERROR(__xludf.DUMMYFUNCTION("""COMPUTED_VALUE"""),"SERIES")</f>
        <v>SERIES</v>
      </c>
      <c r="F507" s="6" t="str">
        <f>IFERROR(__xludf.DUMMYFUNCTION("""COMPUTED_VALUE"""),"Comedy")</f>
        <v>Comedy</v>
      </c>
      <c r="G507" s="6">
        <f>IFERROR(__xludf.DUMMYFUNCTION("""COMPUTED_VALUE"""),123.0)</f>
        <v>123</v>
      </c>
      <c r="H507" s="6">
        <f>IFERROR(__xludf.DUMMYFUNCTION("""COMPUTED_VALUE"""),1.0)</f>
        <v>1</v>
      </c>
      <c r="I507" s="6" t="str">
        <f>IFERROR(__xludf.DUMMYFUNCTION("""COMPUTED_VALUE"""),"Mobile")</f>
        <v>Mobile</v>
      </c>
      <c r="J507" s="6" t="str">
        <f>IFERROR(__xludf.DUMMYFUNCTION("""COMPUTED_VALUE"""),"Germany")</f>
        <v>Germany</v>
      </c>
      <c r="K507" s="6" t="str">
        <f>IFERROR(__xludf.DUMMYFUNCTION("""COMPUTED_VALUE"""),"Premium")</f>
        <v>Premium</v>
      </c>
      <c r="L507" s="6">
        <f>IFERROR(__xludf.DUMMYFUNCTION("""COMPUTED_VALUE"""),0.0)</f>
        <v>0</v>
      </c>
      <c r="M507" s="6" t="str">
        <f>IFERROR(__xludf.DUMMYFUNCTION("""COMPUTED_VALUE"""),"2023-03")</f>
        <v>2023-03</v>
      </c>
    </row>
    <row r="508">
      <c r="A508" s="6" t="str">
        <f>IFERROR(__xludf.DUMMYFUNCTION("""COMPUTED_VALUE"""),"911f493c-450a-4e69-81fc-bf688e89f54b")</f>
        <v>911f493c-450a-4e69-81fc-bf688e89f54b</v>
      </c>
      <c r="B508" s="6" t="str">
        <f>IFERROR(__xludf.DUMMYFUNCTION("""COMPUTED_VALUE"""),"df13c215-17ed-4418-bfdc-957858e71b7b")</f>
        <v>df13c215-17ed-4418-bfdc-957858e71b7b</v>
      </c>
      <c r="C508" s="7">
        <f>IFERROR(__xludf.DUMMYFUNCTION("""COMPUTED_VALUE"""),44999.0)</f>
        <v>44999</v>
      </c>
      <c r="D508" s="8">
        <f>IFERROR(__xludf.DUMMYFUNCTION("""COMPUTED_VALUE"""),8.5267305E7)</f>
        <v>85267305</v>
      </c>
      <c r="E508" s="6" t="str">
        <f>IFERROR(__xludf.DUMMYFUNCTION("""COMPUTED_VALUE"""),"DOCUMENTARY")</f>
        <v>DOCUMENTARY</v>
      </c>
      <c r="F508" s="6" t="str">
        <f>IFERROR(__xludf.DUMMYFUNCTION("""COMPUTED_VALUE"""),"Sci-Fi")</f>
        <v>Sci-Fi</v>
      </c>
      <c r="G508" s="6">
        <f>IFERROR(__xludf.DUMMYFUNCTION("""COMPUTED_VALUE"""),36.0)</f>
        <v>36</v>
      </c>
      <c r="H508" s="6">
        <f>IFERROR(__xludf.DUMMYFUNCTION("""COMPUTED_VALUE"""),0.0)</f>
        <v>0</v>
      </c>
      <c r="I508" s="6" t="str">
        <f>IFERROR(__xludf.DUMMYFUNCTION("""COMPUTED_VALUE"""),"Desktop")</f>
        <v>Desktop</v>
      </c>
      <c r="J508" s="6" t="str">
        <f>IFERROR(__xludf.DUMMYFUNCTION("""COMPUTED_VALUE"""),"Germany")</f>
        <v>Germany</v>
      </c>
      <c r="K508" s="6" t="str">
        <f>IFERROR(__xludf.DUMMYFUNCTION("""COMPUTED_VALUE"""),"Basic")</f>
        <v>Basic</v>
      </c>
      <c r="L508" s="6">
        <f>IFERROR(__xludf.DUMMYFUNCTION("""COMPUTED_VALUE"""),0.0)</f>
        <v>0</v>
      </c>
      <c r="M508" s="6" t="str">
        <f>IFERROR(__xludf.DUMMYFUNCTION("""COMPUTED_VALUE"""),"2023-03")</f>
        <v>2023-03</v>
      </c>
    </row>
    <row r="509">
      <c r="A509" s="6" t="str">
        <f>IFERROR(__xludf.DUMMYFUNCTION("""COMPUTED_VALUE"""),"fbf25b96-db62-4cf5-9f76-56c850e81e7c")</f>
        <v>fbf25b96-db62-4cf5-9f76-56c850e81e7c</v>
      </c>
      <c r="B509" s="6" t="str">
        <f>IFERROR(__xludf.DUMMYFUNCTION("""COMPUTED_VALUE"""),"df2e7adf-fca8-452e-933d-bffe7b819d6b")</f>
        <v>df2e7adf-fca8-452e-933d-bffe7b819d6b</v>
      </c>
      <c r="C509" s="7">
        <f>IFERROR(__xludf.DUMMYFUNCTION("""COMPUTED_VALUE"""),45142.0)</f>
        <v>45142</v>
      </c>
      <c r="D509" s="8">
        <f>IFERROR(__xludf.DUMMYFUNCTION("""COMPUTED_VALUE"""),7.1829685E7)</f>
        <v>71829685</v>
      </c>
      <c r="E509" s="6" t="str">
        <f>IFERROR(__xludf.DUMMYFUNCTION("""COMPUTED_VALUE"""),"SERIES")</f>
        <v>SERIES</v>
      </c>
      <c r="F509" s="6" t="str">
        <f>IFERROR(__xludf.DUMMYFUNCTION("""COMPUTED_VALUE"""),"Sci-Fi")</f>
        <v>Sci-Fi</v>
      </c>
      <c r="G509" s="6">
        <f>IFERROR(__xludf.DUMMYFUNCTION("""COMPUTED_VALUE"""),165.0)</f>
        <v>165</v>
      </c>
      <c r="H509" s="6">
        <f>IFERROR(__xludf.DUMMYFUNCTION("""COMPUTED_VALUE"""),1.0)</f>
        <v>1</v>
      </c>
      <c r="I509" s="6" t="str">
        <f>IFERROR(__xludf.DUMMYFUNCTION("""COMPUTED_VALUE"""),"Smart Tv")</f>
        <v>Smart Tv</v>
      </c>
      <c r="J509" s="6" t="str">
        <f>IFERROR(__xludf.DUMMYFUNCTION("""COMPUTED_VALUE"""),"Usa")</f>
        <v>Usa</v>
      </c>
      <c r="K509" s="6" t="str">
        <f>IFERROR(__xludf.DUMMYFUNCTION("""COMPUTED_VALUE"""),"Basic")</f>
        <v>Basic</v>
      </c>
      <c r="L509" s="6">
        <f>IFERROR(__xludf.DUMMYFUNCTION("""COMPUTED_VALUE"""),0.0)</f>
        <v>0</v>
      </c>
      <c r="M509" s="6" t="str">
        <f>IFERROR(__xludf.DUMMYFUNCTION("""COMPUTED_VALUE"""),"2023-08")</f>
        <v>2023-08</v>
      </c>
    </row>
    <row r="510">
      <c r="A510" s="6" t="str">
        <f>IFERROR(__xludf.DUMMYFUNCTION("""COMPUTED_VALUE"""),"764534ae-c086-4c36-9b22-6d7d6e066b6c")</f>
        <v>764534ae-c086-4c36-9b22-6d7d6e066b6c</v>
      </c>
      <c r="B510" s="6" t="str">
        <f>IFERROR(__xludf.DUMMYFUNCTION("""COMPUTED_VALUE"""),"df337753-10bb-4bdb-bbf0-4a9664a09784")</f>
        <v>df337753-10bb-4bdb-bbf0-4a9664a09784</v>
      </c>
      <c r="C510" s="7">
        <f>IFERROR(__xludf.DUMMYFUNCTION("""COMPUTED_VALUE"""),45002.0)</f>
        <v>45002</v>
      </c>
      <c r="D510" s="8">
        <f>IFERROR(__xludf.DUMMYFUNCTION("""COMPUTED_VALUE"""),6.8938635E7)</f>
        <v>68938635</v>
      </c>
      <c r="E510" s="6" t="str">
        <f>IFERROR(__xludf.DUMMYFUNCTION("""COMPUTED_VALUE"""),"DOCUMENTARY")</f>
        <v>DOCUMENTARY</v>
      </c>
      <c r="F510" s="6" t="str">
        <f>IFERROR(__xludf.DUMMYFUNCTION("""COMPUTED_VALUE"""),"Comedy")</f>
        <v>Comedy</v>
      </c>
      <c r="G510" s="6">
        <f>IFERROR(__xludf.DUMMYFUNCTION("""COMPUTED_VALUE"""),127.0)</f>
        <v>127</v>
      </c>
      <c r="H510" s="6">
        <f>IFERROR(__xludf.DUMMYFUNCTION("""COMPUTED_VALUE"""),1.0)</f>
        <v>1</v>
      </c>
      <c r="I510" s="6" t="str">
        <f>IFERROR(__xludf.DUMMYFUNCTION("""COMPUTED_VALUE"""),"Tablet")</f>
        <v>Tablet</v>
      </c>
      <c r="J510" s="6" t="str">
        <f>IFERROR(__xludf.DUMMYFUNCTION("""COMPUTED_VALUE"""),"Usa")</f>
        <v>Usa</v>
      </c>
      <c r="K510" s="6" t="str">
        <f>IFERROR(__xludf.DUMMYFUNCTION("""COMPUTED_VALUE"""),"Standard")</f>
        <v>Standard</v>
      </c>
      <c r="L510" s="6">
        <f>IFERROR(__xludf.DUMMYFUNCTION("""COMPUTED_VALUE"""),0.0)</f>
        <v>0</v>
      </c>
      <c r="M510" s="6" t="str">
        <f>IFERROR(__xludf.DUMMYFUNCTION("""COMPUTED_VALUE"""),"2023-03")</f>
        <v>2023-03</v>
      </c>
    </row>
    <row r="511">
      <c r="A511" s="6" t="str">
        <f>IFERROR(__xludf.DUMMYFUNCTION("""COMPUTED_VALUE"""),"73dab074-bbd5-4a6e-b27e-bd4f6736a84f")</f>
        <v>73dab074-bbd5-4a6e-b27e-bd4f6736a84f</v>
      </c>
      <c r="B511" s="6" t="str">
        <f>IFERROR(__xludf.DUMMYFUNCTION("""COMPUTED_VALUE"""),"df6c33f0-714b-4a45-b217-2acae1d87bd0")</f>
        <v>df6c33f0-714b-4a45-b217-2acae1d87bd0</v>
      </c>
      <c r="C511" s="7">
        <f>IFERROR(__xludf.DUMMYFUNCTION("""COMPUTED_VALUE"""),45209.0)</f>
        <v>45209</v>
      </c>
      <c r="D511" s="8">
        <f>IFERROR(__xludf.DUMMYFUNCTION("""COMPUTED_VALUE"""),9.5118338E7)</f>
        <v>95118338</v>
      </c>
      <c r="E511" s="6" t="str">
        <f>IFERROR(__xludf.DUMMYFUNCTION("""COMPUTED_VALUE"""),"SERIES")</f>
        <v>SERIES</v>
      </c>
      <c r="F511" s="6" t="str">
        <f>IFERROR(__xludf.DUMMYFUNCTION("""COMPUTED_VALUE"""),"Drama")</f>
        <v>Drama</v>
      </c>
      <c r="G511" s="6">
        <f>IFERROR(__xludf.DUMMYFUNCTION("""COMPUTED_VALUE"""),162.0)</f>
        <v>162</v>
      </c>
      <c r="H511" s="6">
        <f>IFERROR(__xludf.DUMMYFUNCTION("""COMPUTED_VALUE"""),0.0)</f>
        <v>0</v>
      </c>
      <c r="I511" s="6" t="str">
        <f>IFERROR(__xludf.DUMMYFUNCTION("""COMPUTED_VALUE"""),"Smart Tv")</f>
        <v>Smart Tv</v>
      </c>
      <c r="J511" s="6" t="str">
        <f>IFERROR(__xludf.DUMMYFUNCTION("""COMPUTED_VALUE"""),"Germany")</f>
        <v>Germany</v>
      </c>
      <c r="K511" s="6" t="str">
        <f>IFERROR(__xludf.DUMMYFUNCTION("""COMPUTED_VALUE"""),"Premium")</f>
        <v>Premium</v>
      </c>
      <c r="L511" s="6">
        <f>IFERROR(__xludf.DUMMYFUNCTION("""COMPUTED_VALUE"""),0.0)</f>
        <v>0</v>
      </c>
      <c r="M511" s="6" t="str">
        <f>IFERROR(__xludf.DUMMYFUNCTION("""COMPUTED_VALUE"""),"2023-10")</f>
        <v>2023-10</v>
      </c>
    </row>
    <row r="512">
      <c r="A512" s="6" t="str">
        <f>IFERROR(__xludf.DUMMYFUNCTION("""COMPUTED_VALUE"""),"c2c7f1a6-9fe9-4e14-a54c-718126c54436")</f>
        <v>c2c7f1a6-9fe9-4e14-a54c-718126c54436</v>
      </c>
      <c r="B512" s="6" t="str">
        <f>IFERROR(__xludf.DUMMYFUNCTION("""COMPUTED_VALUE"""),"df704439-f2a8-4673-8ce1-4d71e0250fd7")</f>
        <v>df704439-f2a8-4673-8ce1-4d71e0250fd7</v>
      </c>
      <c r="C512" s="7">
        <f>IFERROR(__xludf.DUMMYFUNCTION("""COMPUTED_VALUE"""),45199.0)</f>
        <v>45199</v>
      </c>
      <c r="D512" s="8">
        <f>IFERROR(__xludf.DUMMYFUNCTION("""COMPUTED_VALUE"""),9.7955887E7)</f>
        <v>97955887</v>
      </c>
      <c r="E512" s="6" t="str">
        <f>IFERROR(__xludf.DUMMYFUNCTION("""COMPUTED_VALUE"""),"SERIES")</f>
        <v>SERIES</v>
      </c>
      <c r="F512" s="6" t="str">
        <f>IFERROR(__xludf.DUMMYFUNCTION("""COMPUTED_VALUE"""),"Sci-Fi")</f>
        <v>Sci-Fi</v>
      </c>
      <c r="G512" s="6">
        <f>IFERROR(__xludf.DUMMYFUNCTION("""COMPUTED_VALUE"""),21.0)</f>
        <v>21</v>
      </c>
      <c r="H512" s="6">
        <f>IFERROR(__xludf.DUMMYFUNCTION("""COMPUTED_VALUE"""),1.0)</f>
        <v>1</v>
      </c>
      <c r="I512" s="6" t="str">
        <f>IFERROR(__xludf.DUMMYFUNCTION("""COMPUTED_VALUE"""),"Mobile")</f>
        <v>Mobile</v>
      </c>
      <c r="J512" s="6" t="str">
        <f>IFERROR(__xludf.DUMMYFUNCTION("""COMPUTED_VALUE"""),"India")</f>
        <v>India</v>
      </c>
      <c r="K512" s="6" t="str">
        <f>IFERROR(__xludf.DUMMYFUNCTION("""COMPUTED_VALUE"""),"Standard")</f>
        <v>Standard</v>
      </c>
      <c r="L512" s="6">
        <f>IFERROR(__xludf.DUMMYFUNCTION("""COMPUTED_VALUE"""),0.0)</f>
        <v>0</v>
      </c>
      <c r="M512" s="6" t="str">
        <f>IFERROR(__xludf.DUMMYFUNCTION("""COMPUTED_VALUE"""),"2023-09")</f>
        <v>2023-09</v>
      </c>
    </row>
    <row r="513">
      <c r="A513" s="6" t="str">
        <f>IFERROR(__xludf.DUMMYFUNCTION("""COMPUTED_VALUE"""),"1567b3c9-af7a-48c5-babe-5a8d78a51ef9")</f>
        <v>1567b3c9-af7a-48c5-babe-5a8d78a51ef9</v>
      </c>
      <c r="B513" s="6" t="str">
        <f>IFERROR(__xludf.DUMMYFUNCTION("""COMPUTED_VALUE"""),"df8c3e27-4fcb-429e-8b11-667030d226c5")</f>
        <v>df8c3e27-4fcb-429e-8b11-667030d226c5</v>
      </c>
      <c r="C513" s="7">
        <f>IFERROR(__xludf.DUMMYFUNCTION("""COMPUTED_VALUE"""),45058.0)</f>
        <v>45058</v>
      </c>
      <c r="D513" s="8">
        <f>IFERROR(__xludf.DUMMYFUNCTION("""COMPUTED_VALUE"""),1.2703647E7)</f>
        <v>12703647</v>
      </c>
      <c r="E513" s="6" t="str">
        <f>IFERROR(__xludf.DUMMYFUNCTION("""COMPUTED_VALUE"""),"MOVIE")</f>
        <v>MOVIE</v>
      </c>
      <c r="F513" s="6" t="str">
        <f>IFERROR(__xludf.DUMMYFUNCTION("""COMPUTED_VALUE"""),"Comedy")</f>
        <v>Comedy</v>
      </c>
      <c r="G513" s="6">
        <f>IFERROR(__xludf.DUMMYFUNCTION("""COMPUTED_VALUE"""),145.0)</f>
        <v>145</v>
      </c>
      <c r="H513" s="6">
        <f>IFERROR(__xludf.DUMMYFUNCTION("""COMPUTED_VALUE"""),1.0)</f>
        <v>1</v>
      </c>
      <c r="I513" s="6" t="str">
        <f>IFERROR(__xludf.DUMMYFUNCTION("""COMPUTED_VALUE"""),"Desktop")</f>
        <v>Desktop</v>
      </c>
      <c r="J513" s="6" t="str">
        <f>IFERROR(__xludf.DUMMYFUNCTION("""COMPUTED_VALUE"""),"Uk")</f>
        <v>Uk</v>
      </c>
      <c r="K513" s="6" t="str">
        <f>IFERROR(__xludf.DUMMYFUNCTION("""COMPUTED_VALUE"""),"Basic")</f>
        <v>Basic</v>
      </c>
      <c r="L513" s="6">
        <f>IFERROR(__xludf.DUMMYFUNCTION("""COMPUTED_VALUE"""),0.0)</f>
        <v>0</v>
      </c>
      <c r="M513" s="6" t="str">
        <f>IFERROR(__xludf.DUMMYFUNCTION("""COMPUTED_VALUE"""),"2023-05")</f>
        <v>2023-05</v>
      </c>
    </row>
    <row r="514">
      <c r="A514" s="6" t="str">
        <f>IFERROR(__xludf.DUMMYFUNCTION("""COMPUTED_VALUE"""),"09c18ae3-c5ee-4a53-bf5c-e5050c05c960")</f>
        <v>09c18ae3-c5ee-4a53-bf5c-e5050c05c960</v>
      </c>
      <c r="B514" s="6" t="str">
        <f>IFERROR(__xludf.DUMMYFUNCTION("""COMPUTED_VALUE"""),"e0000fa0-95cf-4f7f-bb9b-ece11295c063")</f>
        <v>e0000fa0-95cf-4f7f-bb9b-ece11295c063</v>
      </c>
      <c r="C514" s="7">
        <f>IFERROR(__xludf.DUMMYFUNCTION("""COMPUTED_VALUE"""),45121.0)</f>
        <v>45121</v>
      </c>
      <c r="D514" s="8">
        <f>IFERROR(__xludf.DUMMYFUNCTION("""COMPUTED_VALUE"""),1.110283E7)</f>
        <v>11102830</v>
      </c>
      <c r="E514" s="6" t="str">
        <f>IFERROR(__xludf.DUMMYFUNCTION("""COMPUTED_VALUE"""),"SERIES")</f>
        <v>SERIES</v>
      </c>
      <c r="F514" s="6" t="str">
        <f>IFERROR(__xludf.DUMMYFUNCTION("""COMPUTED_VALUE"""),"Comedy")</f>
        <v>Comedy</v>
      </c>
      <c r="G514" s="6">
        <f>IFERROR(__xludf.DUMMYFUNCTION("""COMPUTED_VALUE"""),130.0)</f>
        <v>130</v>
      </c>
      <c r="H514" s="6">
        <f>IFERROR(__xludf.DUMMYFUNCTION("""COMPUTED_VALUE"""),1.0)</f>
        <v>1</v>
      </c>
      <c r="I514" s="6" t="str">
        <f>IFERROR(__xludf.DUMMYFUNCTION("""COMPUTED_VALUE"""),"Smart Tv")</f>
        <v>Smart Tv</v>
      </c>
      <c r="J514" s="6" t="str">
        <f>IFERROR(__xludf.DUMMYFUNCTION("""COMPUTED_VALUE"""),"France")</f>
        <v>France</v>
      </c>
      <c r="K514" s="6" t="str">
        <f>IFERROR(__xludf.DUMMYFUNCTION("""COMPUTED_VALUE"""),"Basic")</f>
        <v>Basic</v>
      </c>
      <c r="L514" s="6">
        <f>IFERROR(__xludf.DUMMYFUNCTION("""COMPUTED_VALUE"""),0.0)</f>
        <v>0</v>
      </c>
      <c r="M514" s="6" t="str">
        <f>IFERROR(__xludf.DUMMYFUNCTION("""COMPUTED_VALUE"""),"2023-07")</f>
        <v>2023-07</v>
      </c>
    </row>
    <row r="515">
      <c r="A515" s="6" t="str">
        <f>IFERROR(__xludf.DUMMYFUNCTION("""COMPUTED_VALUE"""),"fbcddc66-ce18-433d-90c9-65310186b0d8")</f>
        <v>fbcddc66-ce18-433d-90c9-65310186b0d8</v>
      </c>
      <c r="B515" s="6" t="str">
        <f>IFERROR(__xludf.DUMMYFUNCTION("""COMPUTED_VALUE"""),"e0713070-b9a5-4d13-82dd-c14a3cd54136")</f>
        <v>e0713070-b9a5-4d13-82dd-c14a3cd54136</v>
      </c>
      <c r="C515" s="7">
        <f>IFERROR(__xludf.DUMMYFUNCTION("""COMPUTED_VALUE"""),45064.0)</f>
        <v>45064</v>
      </c>
      <c r="D515" s="8">
        <f>IFERROR(__xludf.DUMMYFUNCTION("""COMPUTED_VALUE"""),4.9762693E7)</f>
        <v>49762693</v>
      </c>
      <c r="E515" s="6" t="str">
        <f>IFERROR(__xludf.DUMMYFUNCTION("""COMPUTED_VALUE"""),"DOCUMENTARY")</f>
        <v>DOCUMENTARY</v>
      </c>
      <c r="F515" s="6" t="str">
        <f>IFERROR(__xludf.DUMMYFUNCTION("""COMPUTED_VALUE"""),"Action")</f>
        <v>Action</v>
      </c>
      <c r="G515" s="6">
        <f>IFERROR(__xludf.DUMMYFUNCTION("""COMPUTED_VALUE"""),132.0)</f>
        <v>132</v>
      </c>
      <c r="H515" s="6">
        <f>IFERROR(__xludf.DUMMYFUNCTION("""COMPUTED_VALUE"""),1.0)</f>
        <v>1</v>
      </c>
      <c r="I515" s="6" t="str">
        <f>IFERROR(__xludf.DUMMYFUNCTION("""COMPUTED_VALUE"""),"Mobile")</f>
        <v>Mobile</v>
      </c>
      <c r="J515" s="6" t="str">
        <f>IFERROR(__xludf.DUMMYFUNCTION("""COMPUTED_VALUE"""),"Uk")</f>
        <v>Uk</v>
      </c>
      <c r="K515" s="6" t="str">
        <f>IFERROR(__xludf.DUMMYFUNCTION("""COMPUTED_VALUE"""),"Basic")</f>
        <v>Basic</v>
      </c>
      <c r="L515" s="6">
        <f>IFERROR(__xludf.DUMMYFUNCTION("""COMPUTED_VALUE"""),0.0)</f>
        <v>0</v>
      </c>
      <c r="M515" s="6" t="str">
        <f>IFERROR(__xludf.DUMMYFUNCTION("""COMPUTED_VALUE"""),"2023-05")</f>
        <v>2023-05</v>
      </c>
    </row>
    <row r="516">
      <c r="A516" s="6" t="str">
        <f>IFERROR(__xludf.DUMMYFUNCTION("""COMPUTED_VALUE"""),"816c03df-3e33-4680-85c0-826ac67c6d5a")</f>
        <v>816c03df-3e33-4680-85c0-826ac67c6d5a</v>
      </c>
      <c r="B516" s="6" t="str">
        <f>IFERROR(__xludf.DUMMYFUNCTION("""COMPUTED_VALUE"""),"e0bc7751-2564-424d-ab0d-4f95fb2ddb8b")</f>
        <v>e0bc7751-2564-424d-ab0d-4f95fb2ddb8b</v>
      </c>
      <c r="C516" s="7">
        <f>IFERROR(__xludf.DUMMYFUNCTION("""COMPUTED_VALUE"""),44932.0)</f>
        <v>44932</v>
      </c>
      <c r="D516" s="8">
        <f>IFERROR(__xludf.DUMMYFUNCTION("""COMPUTED_VALUE"""),8.5123755E7)</f>
        <v>85123755</v>
      </c>
      <c r="E516" s="6" t="str">
        <f>IFERROR(__xludf.DUMMYFUNCTION("""COMPUTED_VALUE"""),"MOVIE")</f>
        <v>MOVIE</v>
      </c>
      <c r="F516" s="6" t="str">
        <f>IFERROR(__xludf.DUMMYFUNCTION("""COMPUTED_VALUE"""),"Thriller")</f>
        <v>Thriller</v>
      </c>
      <c r="G516" s="6">
        <f>IFERROR(__xludf.DUMMYFUNCTION("""COMPUTED_VALUE"""),170.0)</f>
        <v>170</v>
      </c>
      <c r="H516" s="6">
        <f>IFERROR(__xludf.DUMMYFUNCTION("""COMPUTED_VALUE"""),1.0)</f>
        <v>1</v>
      </c>
      <c r="I516" s="6" t="str">
        <f>IFERROR(__xludf.DUMMYFUNCTION("""COMPUTED_VALUE"""),"Tablet")</f>
        <v>Tablet</v>
      </c>
      <c r="J516" s="6" t="str">
        <f>IFERROR(__xludf.DUMMYFUNCTION("""COMPUTED_VALUE"""),"Usa")</f>
        <v>Usa</v>
      </c>
      <c r="K516" s="6" t="str">
        <f>IFERROR(__xludf.DUMMYFUNCTION("""COMPUTED_VALUE"""),"Premium")</f>
        <v>Premium</v>
      </c>
      <c r="L516" s="6">
        <f>IFERROR(__xludf.DUMMYFUNCTION("""COMPUTED_VALUE"""),1.0)</f>
        <v>1</v>
      </c>
      <c r="M516" s="6" t="str">
        <f>IFERROR(__xludf.DUMMYFUNCTION("""COMPUTED_VALUE"""),"2023-01")</f>
        <v>2023-01</v>
      </c>
    </row>
    <row r="517">
      <c r="A517" s="6" t="str">
        <f>IFERROR(__xludf.DUMMYFUNCTION("""COMPUTED_VALUE"""),"5b9482ed-1969-4d41-93a5-5d1298b5ee85")</f>
        <v>5b9482ed-1969-4d41-93a5-5d1298b5ee85</v>
      </c>
      <c r="B517" s="6" t="str">
        <f>IFERROR(__xludf.DUMMYFUNCTION("""COMPUTED_VALUE"""),"e0c6c235-34ed-49c1-baa6-ad08d134c04f")</f>
        <v>e0c6c235-34ed-49c1-baa6-ad08d134c04f</v>
      </c>
      <c r="C517" s="7">
        <f>IFERROR(__xludf.DUMMYFUNCTION("""COMPUTED_VALUE"""),45098.0)</f>
        <v>45098</v>
      </c>
      <c r="D517" s="8">
        <f>IFERROR(__xludf.DUMMYFUNCTION("""COMPUTED_VALUE"""),4.6914958E7)</f>
        <v>46914958</v>
      </c>
      <c r="E517" s="6" t="str">
        <f>IFERROR(__xludf.DUMMYFUNCTION("""COMPUTED_VALUE"""),"DOCUMENTARY")</f>
        <v>DOCUMENTARY</v>
      </c>
      <c r="F517" s="6" t="str">
        <f>IFERROR(__xludf.DUMMYFUNCTION("""COMPUTED_VALUE"""),"Drama")</f>
        <v>Drama</v>
      </c>
      <c r="G517" s="6">
        <f>IFERROR(__xludf.DUMMYFUNCTION("""COMPUTED_VALUE"""),120.0)</f>
        <v>120</v>
      </c>
      <c r="H517" s="6">
        <f>IFERROR(__xludf.DUMMYFUNCTION("""COMPUTED_VALUE"""),1.0)</f>
        <v>1</v>
      </c>
      <c r="I517" s="6" t="str">
        <f>IFERROR(__xludf.DUMMYFUNCTION("""COMPUTED_VALUE"""),"Smart Tv")</f>
        <v>Smart Tv</v>
      </c>
      <c r="J517" s="6" t="str">
        <f>IFERROR(__xludf.DUMMYFUNCTION("""COMPUTED_VALUE"""),"Uk")</f>
        <v>Uk</v>
      </c>
      <c r="K517" s="6" t="str">
        <f>IFERROR(__xludf.DUMMYFUNCTION("""COMPUTED_VALUE"""),"Premium")</f>
        <v>Premium</v>
      </c>
      <c r="L517" s="6">
        <f>IFERROR(__xludf.DUMMYFUNCTION("""COMPUTED_VALUE"""),0.0)</f>
        <v>0</v>
      </c>
      <c r="M517" s="6" t="str">
        <f>IFERROR(__xludf.DUMMYFUNCTION("""COMPUTED_VALUE"""),"2023-06")</f>
        <v>2023-06</v>
      </c>
    </row>
    <row r="518">
      <c r="A518" s="6" t="str">
        <f>IFERROR(__xludf.DUMMYFUNCTION("""COMPUTED_VALUE"""),"d5e25c74-22d7-4432-808e-83a9fd64e98c")</f>
        <v>d5e25c74-22d7-4432-808e-83a9fd64e98c</v>
      </c>
      <c r="B518" s="6" t="str">
        <f>IFERROR(__xludf.DUMMYFUNCTION("""COMPUTED_VALUE"""),"e0f3a7f1-dffc-4b59-b3ca-d7dbc8af452e")</f>
        <v>e0f3a7f1-dffc-4b59-b3ca-d7dbc8af452e</v>
      </c>
      <c r="C518" s="7">
        <f>IFERROR(__xludf.DUMMYFUNCTION("""COMPUTED_VALUE"""),44972.0)</f>
        <v>44972</v>
      </c>
      <c r="D518" s="8">
        <f>IFERROR(__xludf.DUMMYFUNCTION("""COMPUTED_VALUE"""),5869299.0)</f>
        <v>5869299</v>
      </c>
      <c r="E518" s="6" t="str">
        <f>IFERROR(__xludf.DUMMYFUNCTION("""COMPUTED_VALUE"""),"SERIES")</f>
        <v>SERIES</v>
      </c>
      <c r="F518" s="6" t="str">
        <f>IFERROR(__xludf.DUMMYFUNCTION("""COMPUTED_VALUE"""),"Comedy")</f>
        <v>Comedy</v>
      </c>
      <c r="G518" s="6">
        <f>IFERROR(__xludf.DUMMYFUNCTION("""COMPUTED_VALUE"""),127.0)</f>
        <v>127</v>
      </c>
      <c r="H518" s="6">
        <f>IFERROR(__xludf.DUMMYFUNCTION("""COMPUTED_VALUE"""),0.0)</f>
        <v>0</v>
      </c>
      <c r="I518" s="6" t="str">
        <f>IFERROR(__xludf.DUMMYFUNCTION("""COMPUTED_VALUE"""),"Desktop")</f>
        <v>Desktop</v>
      </c>
      <c r="J518" s="6" t="str">
        <f>IFERROR(__xludf.DUMMYFUNCTION("""COMPUTED_VALUE"""),"Usa")</f>
        <v>Usa</v>
      </c>
      <c r="K518" s="6" t="str">
        <f>IFERROR(__xludf.DUMMYFUNCTION("""COMPUTED_VALUE"""),"Standard")</f>
        <v>Standard</v>
      </c>
      <c r="L518" s="6">
        <f>IFERROR(__xludf.DUMMYFUNCTION("""COMPUTED_VALUE"""),0.0)</f>
        <v>0</v>
      </c>
      <c r="M518" s="6" t="str">
        <f>IFERROR(__xludf.DUMMYFUNCTION("""COMPUTED_VALUE"""),"2023-02")</f>
        <v>2023-02</v>
      </c>
    </row>
    <row r="519">
      <c r="A519" s="6" t="str">
        <f>IFERROR(__xludf.DUMMYFUNCTION("""COMPUTED_VALUE"""),"6b60ef72-948e-40eb-9fe4-3d64aace1c9a")</f>
        <v>6b60ef72-948e-40eb-9fe4-3d64aace1c9a</v>
      </c>
      <c r="B519" s="6" t="str">
        <f>IFERROR(__xludf.DUMMYFUNCTION("""COMPUTED_VALUE"""),"e11832cc-4ae4-4aa0-a9b6-983cae2fd765")</f>
        <v>e11832cc-4ae4-4aa0-a9b6-983cae2fd765</v>
      </c>
      <c r="C519" s="7">
        <f>IFERROR(__xludf.DUMMYFUNCTION("""COMPUTED_VALUE"""),44959.0)</f>
        <v>44959</v>
      </c>
      <c r="D519" s="8">
        <f>IFERROR(__xludf.DUMMYFUNCTION("""COMPUTED_VALUE"""),7.9265911E7)</f>
        <v>79265911</v>
      </c>
      <c r="E519" s="6" t="str">
        <f>IFERROR(__xludf.DUMMYFUNCTION("""COMPUTED_VALUE"""),"SERIES")</f>
        <v>SERIES</v>
      </c>
      <c r="F519" s="6" t="str">
        <f>IFERROR(__xludf.DUMMYFUNCTION("""COMPUTED_VALUE"""),"Drama")</f>
        <v>Drama</v>
      </c>
      <c r="G519" s="6">
        <f>IFERROR(__xludf.DUMMYFUNCTION("""COMPUTED_VALUE"""),155.0)</f>
        <v>155</v>
      </c>
      <c r="H519" s="6">
        <f>IFERROR(__xludf.DUMMYFUNCTION("""COMPUTED_VALUE"""),0.0)</f>
        <v>0</v>
      </c>
      <c r="I519" s="6" t="str">
        <f>IFERROR(__xludf.DUMMYFUNCTION("""COMPUTED_VALUE"""),"Smart Tv")</f>
        <v>Smart Tv</v>
      </c>
      <c r="J519" s="6" t="str">
        <f>IFERROR(__xludf.DUMMYFUNCTION("""COMPUTED_VALUE"""),"Uk")</f>
        <v>Uk</v>
      </c>
      <c r="K519" s="6" t="str">
        <f>IFERROR(__xludf.DUMMYFUNCTION("""COMPUTED_VALUE"""),"Standard")</f>
        <v>Standard</v>
      </c>
      <c r="L519" s="6">
        <f>IFERROR(__xludf.DUMMYFUNCTION("""COMPUTED_VALUE"""),0.0)</f>
        <v>0</v>
      </c>
      <c r="M519" s="6" t="str">
        <f>IFERROR(__xludf.DUMMYFUNCTION("""COMPUTED_VALUE"""),"2023-02")</f>
        <v>2023-02</v>
      </c>
    </row>
    <row r="520">
      <c r="A520" s="6" t="str">
        <f>IFERROR(__xludf.DUMMYFUNCTION("""COMPUTED_VALUE"""),"68cce369-339b-4ce8-8bb3-66b225a3fcce")</f>
        <v>68cce369-339b-4ce8-8bb3-66b225a3fcce</v>
      </c>
      <c r="B520" s="6" t="str">
        <f>IFERROR(__xludf.DUMMYFUNCTION("""COMPUTED_VALUE"""),"e14a53ef-4d82-42d2-b959-68a5d33cb76d")</f>
        <v>e14a53ef-4d82-42d2-b959-68a5d33cb76d</v>
      </c>
      <c r="C520" s="7">
        <f>IFERROR(__xludf.DUMMYFUNCTION("""COMPUTED_VALUE"""),45238.0)</f>
        <v>45238</v>
      </c>
      <c r="D520" s="8">
        <f>IFERROR(__xludf.DUMMYFUNCTION("""COMPUTED_VALUE"""),7.0875478E7)</f>
        <v>70875478</v>
      </c>
      <c r="E520" s="6" t="str">
        <f>IFERROR(__xludf.DUMMYFUNCTION("""COMPUTED_VALUE"""),"SERIES")</f>
        <v>SERIES</v>
      </c>
      <c r="F520" s="6" t="str">
        <f>IFERROR(__xludf.DUMMYFUNCTION("""COMPUTED_VALUE"""),"Thriller")</f>
        <v>Thriller</v>
      </c>
      <c r="G520" s="6">
        <f>IFERROR(__xludf.DUMMYFUNCTION("""COMPUTED_VALUE"""),106.0)</f>
        <v>106</v>
      </c>
      <c r="H520" s="6">
        <f>IFERROR(__xludf.DUMMYFUNCTION("""COMPUTED_VALUE"""),1.0)</f>
        <v>1</v>
      </c>
      <c r="I520" s="6" t="str">
        <f>IFERROR(__xludf.DUMMYFUNCTION("""COMPUTED_VALUE"""),"Desktop")</f>
        <v>Desktop</v>
      </c>
      <c r="J520" s="6" t="str">
        <f>IFERROR(__xludf.DUMMYFUNCTION("""COMPUTED_VALUE"""),"Usa")</f>
        <v>Usa</v>
      </c>
      <c r="K520" s="6" t="str">
        <f>IFERROR(__xludf.DUMMYFUNCTION("""COMPUTED_VALUE"""),"Premium")</f>
        <v>Premium</v>
      </c>
      <c r="L520" s="6">
        <f>IFERROR(__xludf.DUMMYFUNCTION("""COMPUTED_VALUE"""),0.0)</f>
        <v>0</v>
      </c>
      <c r="M520" s="6" t="str">
        <f>IFERROR(__xludf.DUMMYFUNCTION("""COMPUTED_VALUE"""),"2023-11")</f>
        <v>2023-11</v>
      </c>
    </row>
    <row r="521">
      <c r="A521" s="6" t="str">
        <f>IFERROR(__xludf.DUMMYFUNCTION("""COMPUTED_VALUE"""),"0a5bb410-ff68-41a9-b7c7-ef434afafa7a")</f>
        <v>0a5bb410-ff68-41a9-b7c7-ef434afafa7a</v>
      </c>
      <c r="B521" s="6" t="str">
        <f>IFERROR(__xludf.DUMMYFUNCTION("""COMPUTED_VALUE"""),"e19fc948-095d-4879-b4cc-701d0eb97521")</f>
        <v>e19fc948-095d-4879-b4cc-701d0eb97521</v>
      </c>
      <c r="C521" s="7">
        <f>IFERROR(__xludf.DUMMYFUNCTION("""COMPUTED_VALUE"""),45170.0)</f>
        <v>45170</v>
      </c>
      <c r="D521" s="8">
        <f>IFERROR(__xludf.DUMMYFUNCTION("""COMPUTED_VALUE"""),3.7466718E7)</f>
        <v>37466718</v>
      </c>
      <c r="E521" s="6" t="str">
        <f>IFERROR(__xludf.DUMMYFUNCTION("""COMPUTED_VALUE"""),"MOVIE")</f>
        <v>MOVIE</v>
      </c>
      <c r="F521" s="6" t="str">
        <f>IFERROR(__xludf.DUMMYFUNCTION("""COMPUTED_VALUE"""),"Comedy")</f>
        <v>Comedy</v>
      </c>
      <c r="G521" s="6">
        <f>IFERROR(__xludf.DUMMYFUNCTION("""COMPUTED_VALUE"""),11.0)</f>
        <v>11</v>
      </c>
      <c r="H521" s="6">
        <f>IFERROR(__xludf.DUMMYFUNCTION("""COMPUTED_VALUE"""),1.0)</f>
        <v>1</v>
      </c>
      <c r="I521" s="6" t="str">
        <f>IFERROR(__xludf.DUMMYFUNCTION("""COMPUTED_VALUE"""),"Tablet")</f>
        <v>Tablet</v>
      </c>
      <c r="J521" s="6" t="str">
        <f>IFERROR(__xludf.DUMMYFUNCTION("""COMPUTED_VALUE"""),"India")</f>
        <v>India</v>
      </c>
      <c r="K521" s="6" t="str">
        <f>IFERROR(__xludf.DUMMYFUNCTION("""COMPUTED_VALUE"""),"Standard")</f>
        <v>Standard</v>
      </c>
      <c r="L521" s="6">
        <f>IFERROR(__xludf.DUMMYFUNCTION("""COMPUTED_VALUE"""),0.0)</f>
        <v>0</v>
      </c>
      <c r="M521" s="6" t="str">
        <f>IFERROR(__xludf.DUMMYFUNCTION("""COMPUTED_VALUE"""),"2023-09")</f>
        <v>2023-09</v>
      </c>
    </row>
    <row r="522">
      <c r="A522" s="6" t="str">
        <f>IFERROR(__xludf.DUMMYFUNCTION("""COMPUTED_VALUE"""),"5541b40f-7635-4be4-a11b-4891857f4ecb")</f>
        <v>5541b40f-7635-4be4-a11b-4891857f4ecb</v>
      </c>
      <c r="B522" s="6" t="str">
        <f>IFERROR(__xludf.DUMMYFUNCTION("""COMPUTED_VALUE"""),"e281d2c4-5d0e-4d9f-b85c-3ed84a5d2d3a")</f>
        <v>e281d2c4-5d0e-4d9f-b85c-3ed84a5d2d3a</v>
      </c>
      <c r="C522" s="7">
        <f>IFERROR(__xludf.DUMMYFUNCTION("""COMPUTED_VALUE"""),45010.0)</f>
        <v>45010</v>
      </c>
      <c r="D522" s="8">
        <f>IFERROR(__xludf.DUMMYFUNCTION("""COMPUTED_VALUE"""),5.7784298E7)</f>
        <v>57784298</v>
      </c>
      <c r="E522" s="6" t="str">
        <f>IFERROR(__xludf.DUMMYFUNCTION("""COMPUTED_VALUE"""),"MOVIE")</f>
        <v>MOVIE</v>
      </c>
      <c r="F522" s="6" t="str">
        <f>IFERROR(__xludf.DUMMYFUNCTION("""COMPUTED_VALUE"""),"Sci-Fi")</f>
        <v>Sci-Fi</v>
      </c>
      <c r="G522" s="6">
        <f>IFERROR(__xludf.DUMMYFUNCTION("""COMPUTED_VALUE"""),85.0)</f>
        <v>85</v>
      </c>
      <c r="H522" s="6">
        <f>IFERROR(__xludf.DUMMYFUNCTION("""COMPUTED_VALUE"""),1.0)</f>
        <v>1</v>
      </c>
      <c r="I522" s="6" t="str">
        <f>IFERROR(__xludf.DUMMYFUNCTION("""COMPUTED_VALUE"""),"Desktop")</f>
        <v>Desktop</v>
      </c>
      <c r="J522" s="6" t="str">
        <f>IFERROR(__xludf.DUMMYFUNCTION("""COMPUTED_VALUE"""),"Germany")</f>
        <v>Germany</v>
      </c>
      <c r="K522" s="6" t="str">
        <f>IFERROR(__xludf.DUMMYFUNCTION("""COMPUTED_VALUE"""),"Basic")</f>
        <v>Basic</v>
      </c>
      <c r="L522" s="6">
        <f>IFERROR(__xludf.DUMMYFUNCTION("""COMPUTED_VALUE"""),0.0)</f>
        <v>0</v>
      </c>
      <c r="M522" s="6" t="str">
        <f>IFERROR(__xludf.DUMMYFUNCTION("""COMPUTED_VALUE"""),"2023-03")</f>
        <v>2023-03</v>
      </c>
    </row>
    <row r="523">
      <c r="A523" s="6" t="str">
        <f>IFERROR(__xludf.DUMMYFUNCTION("""COMPUTED_VALUE"""),"6085dd96-e480-4296-b767-1f5855cb195c")</f>
        <v>6085dd96-e480-4296-b767-1f5855cb195c</v>
      </c>
      <c r="B523" s="6" t="str">
        <f>IFERROR(__xludf.DUMMYFUNCTION("""COMPUTED_VALUE"""),"e2c8482f-1795-44f4-81ac-316650c3fd54")</f>
        <v>e2c8482f-1795-44f4-81ac-316650c3fd54</v>
      </c>
      <c r="C523" s="7">
        <f>IFERROR(__xludf.DUMMYFUNCTION("""COMPUTED_VALUE"""),45018.0)</f>
        <v>45018</v>
      </c>
      <c r="D523" s="8">
        <f>IFERROR(__xludf.DUMMYFUNCTION("""COMPUTED_VALUE"""),7.6597183E7)</f>
        <v>76597183</v>
      </c>
      <c r="E523" s="6" t="str">
        <f>IFERROR(__xludf.DUMMYFUNCTION("""COMPUTED_VALUE"""),"SERIES")</f>
        <v>SERIES</v>
      </c>
      <c r="F523" s="6" t="str">
        <f>IFERROR(__xludf.DUMMYFUNCTION("""COMPUTED_VALUE"""),"Thriller")</f>
        <v>Thriller</v>
      </c>
      <c r="G523" s="6">
        <f>IFERROR(__xludf.DUMMYFUNCTION("""COMPUTED_VALUE"""),25.0)</f>
        <v>25</v>
      </c>
      <c r="H523" s="6">
        <f>IFERROR(__xludf.DUMMYFUNCTION("""COMPUTED_VALUE"""),1.0)</f>
        <v>1</v>
      </c>
      <c r="I523" s="6" t="str">
        <f>IFERROR(__xludf.DUMMYFUNCTION("""COMPUTED_VALUE"""),"Desktop")</f>
        <v>Desktop</v>
      </c>
      <c r="J523" s="6" t="str">
        <f>IFERROR(__xludf.DUMMYFUNCTION("""COMPUTED_VALUE"""),"Usa")</f>
        <v>Usa</v>
      </c>
      <c r="K523" s="6" t="str">
        <f>IFERROR(__xludf.DUMMYFUNCTION("""COMPUTED_VALUE"""),"Premium")</f>
        <v>Premium</v>
      </c>
      <c r="L523" s="6">
        <f>IFERROR(__xludf.DUMMYFUNCTION("""COMPUTED_VALUE"""),0.0)</f>
        <v>0</v>
      </c>
      <c r="M523" s="6" t="str">
        <f>IFERROR(__xludf.DUMMYFUNCTION("""COMPUTED_VALUE"""),"2023-04")</f>
        <v>2023-04</v>
      </c>
    </row>
    <row r="524">
      <c r="A524" s="6" t="str">
        <f>IFERROR(__xludf.DUMMYFUNCTION("""COMPUTED_VALUE"""),"0f30f2e1-c444-4f17-bbad-6c867daae99c")</f>
        <v>0f30f2e1-c444-4f17-bbad-6c867daae99c</v>
      </c>
      <c r="B524" s="6" t="str">
        <f>IFERROR(__xludf.DUMMYFUNCTION("""COMPUTED_VALUE"""),"e301d7ea-a26b-48bf-ac81-98a7ec54a63d")</f>
        <v>e301d7ea-a26b-48bf-ac81-98a7ec54a63d</v>
      </c>
      <c r="C524" s="7">
        <f>IFERROR(__xludf.DUMMYFUNCTION("""COMPUTED_VALUE"""),45023.0)</f>
        <v>45023</v>
      </c>
      <c r="D524" s="8">
        <f>IFERROR(__xludf.DUMMYFUNCTION("""COMPUTED_VALUE"""),4821687.0)</f>
        <v>4821687</v>
      </c>
      <c r="E524" s="6" t="str">
        <f>IFERROR(__xludf.DUMMYFUNCTION("""COMPUTED_VALUE"""),"SERIES")</f>
        <v>SERIES</v>
      </c>
      <c r="F524" s="6" t="str">
        <f>IFERROR(__xludf.DUMMYFUNCTION("""COMPUTED_VALUE"""),"Drama")</f>
        <v>Drama</v>
      </c>
      <c r="G524" s="6">
        <f>IFERROR(__xludf.DUMMYFUNCTION("""COMPUTED_VALUE"""),130.0)</f>
        <v>130</v>
      </c>
      <c r="H524" s="6">
        <f>IFERROR(__xludf.DUMMYFUNCTION("""COMPUTED_VALUE"""),1.0)</f>
        <v>1</v>
      </c>
      <c r="I524" s="6" t="str">
        <f>IFERROR(__xludf.DUMMYFUNCTION("""COMPUTED_VALUE"""),"Tablet")</f>
        <v>Tablet</v>
      </c>
      <c r="J524" s="6" t="str">
        <f>IFERROR(__xludf.DUMMYFUNCTION("""COMPUTED_VALUE"""),"Uk")</f>
        <v>Uk</v>
      </c>
      <c r="K524" s="6" t="str">
        <f>IFERROR(__xludf.DUMMYFUNCTION("""COMPUTED_VALUE"""),"Basic")</f>
        <v>Basic</v>
      </c>
      <c r="L524" s="6">
        <f>IFERROR(__xludf.DUMMYFUNCTION("""COMPUTED_VALUE"""),0.0)</f>
        <v>0</v>
      </c>
      <c r="M524" s="6" t="str">
        <f>IFERROR(__xludf.DUMMYFUNCTION("""COMPUTED_VALUE"""),"2023-04")</f>
        <v>2023-04</v>
      </c>
    </row>
    <row r="525">
      <c r="A525" s="6" t="str">
        <f>IFERROR(__xludf.DUMMYFUNCTION("""COMPUTED_VALUE"""),"a6a79170-8d57-4bec-a278-4425b88609cf")</f>
        <v>a6a79170-8d57-4bec-a278-4425b88609cf</v>
      </c>
      <c r="B525" s="6" t="str">
        <f>IFERROR(__xludf.DUMMYFUNCTION("""COMPUTED_VALUE"""),"e30481a5-6606-499b-af90-4d382fc33c2d")</f>
        <v>e30481a5-6606-499b-af90-4d382fc33c2d</v>
      </c>
      <c r="C525" s="7">
        <f>IFERROR(__xludf.DUMMYFUNCTION("""COMPUTED_VALUE"""),45041.0)</f>
        <v>45041</v>
      </c>
      <c r="D525" s="8">
        <f>IFERROR(__xludf.DUMMYFUNCTION("""COMPUTED_VALUE"""),3512166.0)</f>
        <v>3512166</v>
      </c>
      <c r="E525" s="6" t="str">
        <f>IFERROR(__xludf.DUMMYFUNCTION("""COMPUTED_VALUE"""),"MOVIE")</f>
        <v>MOVIE</v>
      </c>
      <c r="F525" s="6" t="str">
        <f>IFERROR(__xludf.DUMMYFUNCTION("""COMPUTED_VALUE"""),"Drama")</f>
        <v>Drama</v>
      </c>
      <c r="G525" s="6">
        <f>IFERROR(__xludf.DUMMYFUNCTION("""COMPUTED_VALUE"""),77.0)</f>
        <v>77</v>
      </c>
      <c r="H525" s="6">
        <f>IFERROR(__xludf.DUMMYFUNCTION("""COMPUTED_VALUE"""),1.0)</f>
        <v>1</v>
      </c>
      <c r="I525" s="6" t="str">
        <f>IFERROR(__xludf.DUMMYFUNCTION("""COMPUTED_VALUE"""),"Desktop")</f>
        <v>Desktop</v>
      </c>
      <c r="J525" s="6" t="str">
        <f>IFERROR(__xludf.DUMMYFUNCTION("""COMPUTED_VALUE"""),"France")</f>
        <v>France</v>
      </c>
      <c r="K525" s="6" t="str">
        <f>IFERROR(__xludf.DUMMYFUNCTION("""COMPUTED_VALUE"""),"Basic")</f>
        <v>Basic</v>
      </c>
      <c r="L525" s="6">
        <f>IFERROR(__xludf.DUMMYFUNCTION("""COMPUTED_VALUE"""),0.0)</f>
        <v>0</v>
      </c>
      <c r="M525" s="6" t="str">
        <f>IFERROR(__xludf.DUMMYFUNCTION("""COMPUTED_VALUE"""),"2023-04")</f>
        <v>2023-04</v>
      </c>
    </row>
    <row r="526">
      <c r="A526" s="6" t="str">
        <f>IFERROR(__xludf.DUMMYFUNCTION("""COMPUTED_VALUE"""),"9e9d3b77-ba34-4580-ada0-a0af0ffd10c7")</f>
        <v>9e9d3b77-ba34-4580-ada0-a0af0ffd10c7</v>
      </c>
      <c r="B526" s="6" t="str">
        <f>IFERROR(__xludf.DUMMYFUNCTION("""COMPUTED_VALUE"""),"e317123a-3d0a-45e7-ab2d-40c7c2d99561")</f>
        <v>e317123a-3d0a-45e7-ab2d-40c7c2d99561</v>
      </c>
      <c r="C526" s="7">
        <f>IFERROR(__xludf.DUMMYFUNCTION("""COMPUTED_VALUE"""),45077.0)</f>
        <v>45077</v>
      </c>
      <c r="D526" s="8">
        <f>IFERROR(__xludf.DUMMYFUNCTION("""COMPUTED_VALUE"""),1.6442474E7)</f>
        <v>16442474</v>
      </c>
      <c r="E526" s="6" t="str">
        <f>IFERROR(__xludf.DUMMYFUNCTION("""COMPUTED_VALUE"""),"MOVIE")</f>
        <v>MOVIE</v>
      </c>
      <c r="F526" s="6" t="str">
        <f>IFERROR(__xludf.DUMMYFUNCTION("""COMPUTED_VALUE"""),"Comedy")</f>
        <v>Comedy</v>
      </c>
      <c r="G526" s="6">
        <f>IFERROR(__xludf.DUMMYFUNCTION("""COMPUTED_VALUE"""),127.0)</f>
        <v>127</v>
      </c>
      <c r="H526" s="6">
        <f>IFERROR(__xludf.DUMMYFUNCTION("""COMPUTED_VALUE"""),0.0)</f>
        <v>0</v>
      </c>
      <c r="I526" s="6" t="str">
        <f>IFERROR(__xludf.DUMMYFUNCTION("""COMPUTED_VALUE"""),"Mobile")</f>
        <v>Mobile</v>
      </c>
      <c r="J526" s="6" t="str">
        <f>IFERROR(__xludf.DUMMYFUNCTION("""COMPUTED_VALUE"""),"India")</f>
        <v>India</v>
      </c>
      <c r="K526" s="6" t="str">
        <f>IFERROR(__xludf.DUMMYFUNCTION("""COMPUTED_VALUE"""),"Premium")</f>
        <v>Premium</v>
      </c>
      <c r="L526" s="6">
        <f>IFERROR(__xludf.DUMMYFUNCTION("""COMPUTED_VALUE"""),0.0)</f>
        <v>0</v>
      </c>
      <c r="M526" s="6" t="str">
        <f>IFERROR(__xludf.DUMMYFUNCTION("""COMPUTED_VALUE"""),"2023-05")</f>
        <v>2023-05</v>
      </c>
    </row>
    <row r="527">
      <c r="A527" s="6" t="str">
        <f>IFERROR(__xludf.DUMMYFUNCTION("""COMPUTED_VALUE"""),"9e4b4102-3ee6-440d-b05b-f781861f876b")</f>
        <v>9e4b4102-3ee6-440d-b05b-f781861f876b</v>
      </c>
      <c r="B527" s="6" t="str">
        <f>IFERROR(__xludf.DUMMYFUNCTION("""COMPUTED_VALUE"""),"e36ab68a-1d52-4699-a869-1037c731b237")</f>
        <v>e36ab68a-1d52-4699-a869-1037c731b237</v>
      </c>
      <c r="C527" s="7">
        <f>IFERROR(__xludf.DUMMYFUNCTION("""COMPUTED_VALUE"""),44938.0)</f>
        <v>44938</v>
      </c>
      <c r="D527" s="8">
        <f>IFERROR(__xludf.DUMMYFUNCTION("""COMPUTED_VALUE"""),8.258739E7)</f>
        <v>82587390</v>
      </c>
      <c r="E527" s="6" t="str">
        <f>IFERROR(__xludf.DUMMYFUNCTION("""COMPUTED_VALUE"""),"SERIES")</f>
        <v>SERIES</v>
      </c>
      <c r="F527" s="6" t="str">
        <f>IFERROR(__xludf.DUMMYFUNCTION("""COMPUTED_VALUE"""),"Drama")</f>
        <v>Drama</v>
      </c>
      <c r="G527" s="6">
        <f>IFERROR(__xludf.DUMMYFUNCTION("""COMPUTED_VALUE"""),130.0)</f>
        <v>130</v>
      </c>
      <c r="H527" s="6">
        <f>IFERROR(__xludf.DUMMYFUNCTION("""COMPUTED_VALUE"""),1.0)</f>
        <v>1</v>
      </c>
      <c r="I527" s="6" t="str">
        <f>IFERROR(__xludf.DUMMYFUNCTION("""COMPUTED_VALUE"""),"Tablet")</f>
        <v>Tablet</v>
      </c>
      <c r="J527" s="6" t="str">
        <f>IFERROR(__xludf.DUMMYFUNCTION("""COMPUTED_VALUE"""),"Usa")</f>
        <v>Usa</v>
      </c>
      <c r="K527" s="6" t="str">
        <f>IFERROR(__xludf.DUMMYFUNCTION("""COMPUTED_VALUE"""),"Basic")</f>
        <v>Basic</v>
      </c>
      <c r="L527" s="6">
        <f>IFERROR(__xludf.DUMMYFUNCTION("""COMPUTED_VALUE"""),0.0)</f>
        <v>0</v>
      </c>
      <c r="M527" s="6" t="str">
        <f>IFERROR(__xludf.DUMMYFUNCTION("""COMPUTED_VALUE"""),"2023-01")</f>
        <v>2023-01</v>
      </c>
    </row>
    <row r="528">
      <c r="A528" s="6" t="str">
        <f>IFERROR(__xludf.DUMMYFUNCTION("""COMPUTED_VALUE"""),"2d01b7b1-4bc1-443e-85eb-09baa0287d1e")</f>
        <v>2d01b7b1-4bc1-443e-85eb-09baa0287d1e</v>
      </c>
      <c r="B528" s="6" t="str">
        <f>IFERROR(__xludf.DUMMYFUNCTION("""COMPUTED_VALUE"""),"e3ba140b-4713-4655-a675-917fcf0f379d")</f>
        <v>e3ba140b-4713-4655-a675-917fcf0f379d</v>
      </c>
      <c r="C528" s="7">
        <f>IFERROR(__xludf.DUMMYFUNCTION("""COMPUTED_VALUE"""),45227.0)</f>
        <v>45227</v>
      </c>
      <c r="D528" s="8">
        <f>IFERROR(__xludf.DUMMYFUNCTION("""COMPUTED_VALUE"""),6078164.0)</f>
        <v>6078164</v>
      </c>
      <c r="E528" s="6" t="str">
        <f>IFERROR(__xludf.DUMMYFUNCTION("""COMPUTED_VALUE"""),"DOCUMENTARY")</f>
        <v>DOCUMENTARY</v>
      </c>
      <c r="F528" s="6" t="str">
        <f>IFERROR(__xludf.DUMMYFUNCTION("""COMPUTED_VALUE"""),"Thriller")</f>
        <v>Thriller</v>
      </c>
      <c r="G528" s="6">
        <f>IFERROR(__xludf.DUMMYFUNCTION("""COMPUTED_VALUE"""),100.0)</f>
        <v>100</v>
      </c>
      <c r="H528" s="6">
        <f>IFERROR(__xludf.DUMMYFUNCTION("""COMPUTED_VALUE"""),1.0)</f>
        <v>1</v>
      </c>
      <c r="I528" s="6" t="str">
        <f>IFERROR(__xludf.DUMMYFUNCTION("""COMPUTED_VALUE"""),"Mobile")</f>
        <v>Mobile</v>
      </c>
      <c r="J528" s="6" t="str">
        <f>IFERROR(__xludf.DUMMYFUNCTION("""COMPUTED_VALUE"""),"India")</f>
        <v>India</v>
      </c>
      <c r="K528" s="6" t="str">
        <f>IFERROR(__xludf.DUMMYFUNCTION("""COMPUTED_VALUE"""),"Premium")</f>
        <v>Premium</v>
      </c>
      <c r="L528" s="6">
        <f>IFERROR(__xludf.DUMMYFUNCTION("""COMPUTED_VALUE"""),0.0)</f>
        <v>0</v>
      </c>
      <c r="M528" s="6" t="str">
        <f>IFERROR(__xludf.DUMMYFUNCTION("""COMPUTED_VALUE"""),"2023-10")</f>
        <v>2023-10</v>
      </c>
    </row>
    <row r="529">
      <c r="A529" s="6" t="str">
        <f>IFERROR(__xludf.DUMMYFUNCTION("""COMPUTED_VALUE"""),"ce441882-4338-495e-919c-f0080c81a049")</f>
        <v>ce441882-4338-495e-919c-f0080c81a049</v>
      </c>
      <c r="B529" s="6" t="str">
        <f>IFERROR(__xludf.DUMMYFUNCTION("""COMPUTED_VALUE"""),"e4a45932-74d0-4ab9-a0ec-de9936870d67")</f>
        <v>e4a45932-74d0-4ab9-a0ec-de9936870d67</v>
      </c>
      <c r="C529" s="7">
        <f>IFERROR(__xludf.DUMMYFUNCTION("""COMPUTED_VALUE"""),45271.0)</f>
        <v>45271</v>
      </c>
      <c r="D529" s="8">
        <f>IFERROR(__xludf.DUMMYFUNCTION("""COMPUTED_VALUE"""),3.7963552E7)</f>
        <v>37963552</v>
      </c>
      <c r="E529" s="6" t="str">
        <f>IFERROR(__xludf.DUMMYFUNCTION("""COMPUTED_VALUE"""),"SERIES")</f>
        <v>SERIES</v>
      </c>
      <c r="F529" s="6" t="str">
        <f>IFERROR(__xludf.DUMMYFUNCTION("""COMPUTED_VALUE"""),"Drama")</f>
        <v>Drama</v>
      </c>
      <c r="G529" s="6">
        <f>IFERROR(__xludf.DUMMYFUNCTION("""COMPUTED_VALUE"""),119.0)</f>
        <v>119</v>
      </c>
      <c r="H529" s="6">
        <f>IFERROR(__xludf.DUMMYFUNCTION("""COMPUTED_VALUE"""),1.0)</f>
        <v>1</v>
      </c>
      <c r="I529" s="6" t="str">
        <f>IFERROR(__xludf.DUMMYFUNCTION("""COMPUTED_VALUE"""),"Desktop")</f>
        <v>Desktop</v>
      </c>
      <c r="J529" s="6" t="str">
        <f>IFERROR(__xludf.DUMMYFUNCTION("""COMPUTED_VALUE"""),"Usa")</f>
        <v>Usa</v>
      </c>
      <c r="K529" s="6" t="str">
        <f>IFERROR(__xludf.DUMMYFUNCTION("""COMPUTED_VALUE"""),"Basic")</f>
        <v>Basic</v>
      </c>
      <c r="L529" s="6">
        <f>IFERROR(__xludf.DUMMYFUNCTION("""COMPUTED_VALUE"""),0.0)</f>
        <v>0</v>
      </c>
      <c r="M529" s="6" t="str">
        <f>IFERROR(__xludf.DUMMYFUNCTION("""COMPUTED_VALUE"""),"2023-12")</f>
        <v>2023-12</v>
      </c>
    </row>
    <row r="530">
      <c r="A530" s="6" t="str">
        <f>IFERROR(__xludf.DUMMYFUNCTION("""COMPUTED_VALUE"""),"4a10574e-dda7-43ea-b38d-5f863431d279")</f>
        <v>4a10574e-dda7-43ea-b38d-5f863431d279</v>
      </c>
      <c r="B530" s="6" t="str">
        <f>IFERROR(__xludf.DUMMYFUNCTION("""COMPUTED_VALUE"""),"e545aafc-a2a8-47f7-881b-ca1c84efb7a9")</f>
        <v>e545aafc-a2a8-47f7-881b-ca1c84efb7a9</v>
      </c>
      <c r="C530" s="7">
        <f>IFERROR(__xludf.DUMMYFUNCTION("""COMPUTED_VALUE"""),45152.0)</f>
        <v>45152</v>
      </c>
      <c r="D530" s="8">
        <f>IFERROR(__xludf.DUMMYFUNCTION("""COMPUTED_VALUE"""),2.7258354E7)</f>
        <v>27258354</v>
      </c>
      <c r="E530" s="6" t="str">
        <f>IFERROR(__xludf.DUMMYFUNCTION("""COMPUTED_VALUE"""),"DOCUMENTARY")</f>
        <v>DOCUMENTARY</v>
      </c>
      <c r="F530" s="6" t="str">
        <f>IFERROR(__xludf.DUMMYFUNCTION("""COMPUTED_VALUE"""),"Drama")</f>
        <v>Drama</v>
      </c>
      <c r="G530" s="6">
        <f>IFERROR(__xludf.DUMMYFUNCTION("""COMPUTED_VALUE"""),108.0)</f>
        <v>108</v>
      </c>
      <c r="H530" s="6">
        <f>IFERROR(__xludf.DUMMYFUNCTION("""COMPUTED_VALUE"""),1.0)</f>
        <v>1</v>
      </c>
      <c r="I530" s="6" t="str">
        <f>IFERROR(__xludf.DUMMYFUNCTION("""COMPUTED_VALUE"""),"Tablet")</f>
        <v>Tablet</v>
      </c>
      <c r="J530" s="6" t="str">
        <f>IFERROR(__xludf.DUMMYFUNCTION("""COMPUTED_VALUE"""),"Uk")</f>
        <v>Uk</v>
      </c>
      <c r="K530" s="6" t="str">
        <f>IFERROR(__xludf.DUMMYFUNCTION("""COMPUTED_VALUE"""),"Premium")</f>
        <v>Premium</v>
      </c>
      <c r="L530" s="6">
        <f>IFERROR(__xludf.DUMMYFUNCTION("""COMPUTED_VALUE"""),0.0)</f>
        <v>0</v>
      </c>
      <c r="M530" s="6" t="str">
        <f>IFERROR(__xludf.DUMMYFUNCTION("""COMPUTED_VALUE"""),"2023-08")</f>
        <v>2023-08</v>
      </c>
    </row>
    <row r="531">
      <c r="A531" s="6" t="str">
        <f>IFERROR(__xludf.DUMMYFUNCTION("""COMPUTED_VALUE"""),"9e00559b-2802-4605-bfe6-0c8496154be9")</f>
        <v>9e00559b-2802-4605-bfe6-0c8496154be9</v>
      </c>
      <c r="B531" s="6" t="str">
        <f>IFERROR(__xludf.DUMMYFUNCTION("""COMPUTED_VALUE"""),"e5820a3e-8076-4850-a8e0-cf1b67f74538")</f>
        <v>e5820a3e-8076-4850-a8e0-cf1b67f74538</v>
      </c>
      <c r="C531" s="7">
        <f>IFERROR(__xludf.DUMMYFUNCTION("""COMPUTED_VALUE"""),45066.0)</f>
        <v>45066</v>
      </c>
      <c r="D531" s="8">
        <f>IFERROR(__xludf.DUMMYFUNCTION("""COMPUTED_VALUE"""),8.2425852E7)</f>
        <v>82425852</v>
      </c>
      <c r="E531" s="6" t="str">
        <f>IFERROR(__xludf.DUMMYFUNCTION("""COMPUTED_VALUE"""),"DOCUMENTARY")</f>
        <v>DOCUMENTARY</v>
      </c>
      <c r="F531" s="6" t="str">
        <f>IFERROR(__xludf.DUMMYFUNCTION("""COMPUTED_VALUE"""),"Action")</f>
        <v>Action</v>
      </c>
      <c r="G531" s="6">
        <f>IFERROR(__xludf.DUMMYFUNCTION("""COMPUTED_VALUE"""),126.0)</f>
        <v>126</v>
      </c>
      <c r="H531" s="6">
        <f>IFERROR(__xludf.DUMMYFUNCTION("""COMPUTED_VALUE"""),1.0)</f>
        <v>1</v>
      </c>
      <c r="I531" s="6" t="str">
        <f>IFERROR(__xludf.DUMMYFUNCTION("""COMPUTED_VALUE"""),"Smart Tv")</f>
        <v>Smart Tv</v>
      </c>
      <c r="J531" s="6" t="str">
        <f>IFERROR(__xludf.DUMMYFUNCTION("""COMPUTED_VALUE"""),"France")</f>
        <v>France</v>
      </c>
      <c r="K531" s="6" t="str">
        <f>IFERROR(__xludf.DUMMYFUNCTION("""COMPUTED_VALUE"""),"Premium")</f>
        <v>Premium</v>
      </c>
      <c r="L531" s="6">
        <f>IFERROR(__xludf.DUMMYFUNCTION("""COMPUTED_VALUE"""),0.0)</f>
        <v>0</v>
      </c>
      <c r="M531" s="6" t="str">
        <f>IFERROR(__xludf.DUMMYFUNCTION("""COMPUTED_VALUE"""),"2023-05")</f>
        <v>2023-05</v>
      </c>
    </row>
    <row r="532">
      <c r="A532" s="6" t="str">
        <f>IFERROR(__xludf.DUMMYFUNCTION("""COMPUTED_VALUE"""),"010e6b8e-fcee-4933-bbf9-264b7df21e27")</f>
        <v>010e6b8e-fcee-4933-bbf9-264b7df21e27</v>
      </c>
      <c r="B532" s="6" t="str">
        <f>IFERROR(__xludf.DUMMYFUNCTION("""COMPUTED_VALUE"""),"e5ded931-624e-4a5d-8da6-530890b9d76e")</f>
        <v>e5ded931-624e-4a5d-8da6-530890b9d76e</v>
      </c>
      <c r="C532" s="7">
        <f>IFERROR(__xludf.DUMMYFUNCTION("""COMPUTED_VALUE"""),45150.0)</f>
        <v>45150</v>
      </c>
      <c r="D532" s="8">
        <f>IFERROR(__xludf.DUMMYFUNCTION("""COMPUTED_VALUE"""),2.0107505E7)</f>
        <v>20107505</v>
      </c>
      <c r="E532" s="6" t="str">
        <f>IFERROR(__xludf.DUMMYFUNCTION("""COMPUTED_VALUE"""),"SERIES")</f>
        <v>SERIES</v>
      </c>
      <c r="F532" s="6" t="str">
        <f>IFERROR(__xludf.DUMMYFUNCTION("""COMPUTED_VALUE"""),"Comedy")</f>
        <v>Comedy</v>
      </c>
      <c r="G532" s="6">
        <f>IFERROR(__xludf.DUMMYFUNCTION("""COMPUTED_VALUE"""),177.0)</f>
        <v>177</v>
      </c>
      <c r="H532" s="6">
        <f>IFERROR(__xludf.DUMMYFUNCTION("""COMPUTED_VALUE"""),1.0)</f>
        <v>1</v>
      </c>
      <c r="I532" s="6" t="str">
        <f>IFERROR(__xludf.DUMMYFUNCTION("""COMPUTED_VALUE"""),"Smart Tv")</f>
        <v>Smart Tv</v>
      </c>
      <c r="J532" s="6" t="str">
        <f>IFERROR(__xludf.DUMMYFUNCTION("""COMPUTED_VALUE"""),"Uk")</f>
        <v>Uk</v>
      </c>
      <c r="K532" s="6" t="str">
        <f>IFERROR(__xludf.DUMMYFUNCTION("""COMPUTED_VALUE"""),"Basic")</f>
        <v>Basic</v>
      </c>
      <c r="L532" s="6">
        <f>IFERROR(__xludf.DUMMYFUNCTION("""COMPUTED_VALUE"""),0.0)</f>
        <v>0</v>
      </c>
      <c r="M532" s="6" t="str">
        <f>IFERROR(__xludf.DUMMYFUNCTION("""COMPUTED_VALUE"""),"2023-08")</f>
        <v>2023-08</v>
      </c>
    </row>
    <row r="533">
      <c r="A533" s="6" t="str">
        <f>IFERROR(__xludf.DUMMYFUNCTION("""COMPUTED_VALUE"""),"d460ee39-419a-4fc9-a062-3ef18d59b1bd")</f>
        <v>d460ee39-419a-4fc9-a062-3ef18d59b1bd</v>
      </c>
      <c r="B533" s="6" t="str">
        <f>IFERROR(__xludf.DUMMYFUNCTION("""COMPUTED_VALUE"""),"e5e7118a-54d3-47c8-8093-bfcac518a5b5")</f>
        <v>e5e7118a-54d3-47c8-8093-bfcac518a5b5</v>
      </c>
      <c r="C533" s="7">
        <f>IFERROR(__xludf.DUMMYFUNCTION("""COMPUTED_VALUE"""),45114.0)</f>
        <v>45114</v>
      </c>
      <c r="D533" s="8">
        <f>IFERROR(__xludf.DUMMYFUNCTION("""COMPUTED_VALUE"""),3.2461848E7)</f>
        <v>32461848</v>
      </c>
      <c r="E533" s="6" t="str">
        <f>IFERROR(__xludf.DUMMYFUNCTION("""COMPUTED_VALUE"""),"DOCUMENTARY")</f>
        <v>DOCUMENTARY</v>
      </c>
      <c r="F533" s="6" t="str">
        <f>IFERROR(__xludf.DUMMYFUNCTION("""COMPUTED_VALUE"""),"Thriller")</f>
        <v>Thriller</v>
      </c>
      <c r="G533" s="6">
        <f>IFERROR(__xludf.DUMMYFUNCTION("""COMPUTED_VALUE"""),87.0)</f>
        <v>87</v>
      </c>
      <c r="H533" s="6">
        <f>IFERROR(__xludf.DUMMYFUNCTION("""COMPUTED_VALUE"""),0.0)</f>
        <v>0</v>
      </c>
      <c r="I533" s="6" t="str">
        <f>IFERROR(__xludf.DUMMYFUNCTION("""COMPUTED_VALUE"""),"Desktop")</f>
        <v>Desktop</v>
      </c>
      <c r="J533" s="6" t="str">
        <f>IFERROR(__xludf.DUMMYFUNCTION("""COMPUTED_VALUE"""),"Uk")</f>
        <v>Uk</v>
      </c>
      <c r="K533" s="6" t="str">
        <f>IFERROR(__xludf.DUMMYFUNCTION("""COMPUTED_VALUE"""),"Premium")</f>
        <v>Premium</v>
      </c>
      <c r="L533" s="6">
        <f>IFERROR(__xludf.DUMMYFUNCTION("""COMPUTED_VALUE"""),0.0)</f>
        <v>0</v>
      </c>
      <c r="M533" s="6" t="str">
        <f>IFERROR(__xludf.DUMMYFUNCTION("""COMPUTED_VALUE"""),"2023-07")</f>
        <v>2023-07</v>
      </c>
    </row>
    <row r="534">
      <c r="A534" s="6" t="str">
        <f>IFERROR(__xludf.DUMMYFUNCTION("""COMPUTED_VALUE"""),"3afe16a4-34b0-4a29-9b19-122b6b5bc344")</f>
        <v>3afe16a4-34b0-4a29-9b19-122b6b5bc344</v>
      </c>
      <c r="B534" s="6" t="str">
        <f>IFERROR(__xludf.DUMMYFUNCTION("""COMPUTED_VALUE"""),"e5feacc6-9871-4ae7-b650-9aa38c770580")</f>
        <v>e5feacc6-9871-4ae7-b650-9aa38c770580</v>
      </c>
      <c r="C534" s="7">
        <f>IFERROR(__xludf.DUMMYFUNCTION("""COMPUTED_VALUE"""),45164.0)</f>
        <v>45164</v>
      </c>
      <c r="D534" s="8">
        <f>IFERROR(__xludf.DUMMYFUNCTION("""COMPUTED_VALUE"""),2.1026683E7)</f>
        <v>21026683</v>
      </c>
      <c r="E534" s="6" t="str">
        <f>IFERROR(__xludf.DUMMYFUNCTION("""COMPUTED_VALUE"""),"SERIES")</f>
        <v>SERIES</v>
      </c>
      <c r="F534" s="6" t="str">
        <f>IFERROR(__xludf.DUMMYFUNCTION("""COMPUTED_VALUE"""),"Sci-Fi")</f>
        <v>Sci-Fi</v>
      </c>
      <c r="G534" s="6">
        <f>IFERROR(__xludf.DUMMYFUNCTION("""COMPUTED_VALUE"""),49.0)</f>
        <v>49</v>
      </c>
      <c r="H534" s="6">
        <f>IFERROR(__xludf.DUMMYFUNCTION("""COMPUTED_VALUE"""),1.0)</f>
        <v>1</v>
      </c>
      <c r="I534" s="6" t="str">
        <f>IFERROR(__xludf.DUMMYFUNCTION("""COMPUTED_VALUE"""),"Tablet")</f>
        <v>Tablet</v>
      </c>
      <c r="J534" s="6" t="str">
        <f>IFERROR(__xludf.DUMMYFUNCTION("""COMPUTED_VALUE"""),"Uk")</f>
        <v>Uk</v>
      </c>
      <c r="K534" s="6" t="str">
        <f>IFERROR(__xludf.DUMMYFUNCTION("""COMPUTED_VALUE"""),"Basic")</f>
        <v>Basic</v>
      </c>
      <c r="L534" s="6">
        <f>IFERROR(__xludf.DUMMYFUNCTION("""COMPUTED_VALUE"""),0.0)</f>
        <v>0</v>
      </c>
      <c r="M534" s="6" t="str">
        <f>IFERROR(__xludf.DUMMYFUNCTION("""COMPUTED_VALUE"""),"2023-08")</f>
        <v>2023-08</v>
      </c>
    </row>
    <row r="535">
      <c r="A535" s="6" t="str">
        <f>IFERROR(__xludf.DUMMYFUNCTION("""COMPUTED_VALUE"""),"ed85977a-071a-4e4a-8b6e-d5e8c8bf8fc4")</f>
        <v>ed85977a-071a-4e4a-8b6e-d5e8c8bf8fc4</v>
      </c>
      <c r="B535" s="6" t="str">
        <f>IFERROR(__xludf.DUMMYFUNCTION("""COMPUTED_VALUE"""),"e6086f36-94df-41fd-8f36-d9496bdb46b7")</f>
        <v>e6086f36-94df-41fd-8f36-d9496bdb46b7</v>
      </c>
      <c r="C535" s="7">
        <f>IFERROR(__xludf.DUMMYFUNCTION("""COMPUTED_VALUE"""),45048.0)</f>
        <v>45048</v>
      </c>
      <c r="D535" s="8">
        <f>IFERROR(__xludf.DUMMYFUNCTION("""COMPUTED_VALUE"""),2.6517629E7)</f>
        <v>26517629</v>
      </c>
      <c r="E535" s="6" t="str">
        <f>IFERROR(__xludf.DUMMYFUNCTION("""COMPUTED_VALUE"""),"DOCUMENTARY")</f>
        <v>DOCUMENTARY</v>
      </c>
      <c r="F535" s="6" t="str">
        <f>IFERROR(__xludf.DUMMYFUNCTION("""COMPUTED_VALUE"""),"Drama")</f>
        <v>Drama</v>
      </c>
      <c r="G535" s="6">
        <f>IFERROR(__xludf.DUMMYFUNCTION("""COMPUTED_VALUE"""),42.0)</f>
        <v>42</v>
      </c>
      <c r="H535" s="6">
        <f>IFERROR(__xludf.DUMMYFUNCTION("""COMPUTED_VALUE"""),0.0)</f>
        <v>0</v>
      </c>
      <c r="I535" s="6" t="str">
        <f>IFERROR(__xludf.DUMMYFUNCTION("""COMPUTED_VALUE"""),"Smart Tv")</f>
        <v>Smart Tv</v>
      </c>
      <c r="J535" s="6" t="str">
        <f>IFERROR(__xludf.DUMMYFUNCTION("""COMPUTED_VALUE"""),"Usa")</f>
        <v>Usa</v>
      </c>
      <c r="K535" s="6" t="str">
        <f>IFERROR(__xludf.DUMMYFUNCTION("""COMPUTED_VALUE"""),"Basic")</f>
        <v>Basic</v>
      </c>
      <c r="L535" s="6">
        <f>IFERROR(__xludf.DUMMYFUNCTION("""COMPUTED_VALUE"""),0.0)</f>
        <v>0</v>
      </c>
      <c r="M535" s="6" t="str">
        <f>IFERROR(__xludf.DUMMYFUNCTION("""COMPUTED_VALUE"""),"2023-05")</f>
        <v>2023-05</v>
      </c>
    </row>
    <row r="536">
      <c r="A536" s="6" t="str">
        <f>IFERROR(__xludf.DUMMYFUNCTION("""COMPUTED_VALUE"""),"0bd0ce6d-87b0-4f89-9e1e-714917a8cd25")</f>
        <v>0bd0ce6d-87b0-4f89-9e1e-714917a8cd25</v>
      </c>
      <c r="B536" s="6" t="str">
        <f>IFERROR(__xludf.DUMMYFUNCTION("""COMPUTED_VALUE"""),"e682dd70-99c7-45c9-bc73-accdffc34373")</f>
        <v>e682dd70-99c7-45c9-bc73-accdffc34373</v>
      </c>
      <c r="C536" s="7">
        <f>IFERROR(__xludf.DUMMYFUNCTION("""COMPUTED_VALUE"""),45107.0)</f>
        <v>45107</v>
      </c>
      <c r="D536" s="8">
        <f>IFERROR(__xludf.DUMMYFUNCTION("""COMPUTED_VALUE"""),3.735901E7)</f>
        <v>37359010</v>
      </c>
      <c r="E536" s="6" t="str">
        <f>IFERROR(__xludf.DUMMYFUNCTION("""COMPUTED_VALUE"""),"SERIES")</f>
        <v>SERIES</v>
      </c>
      <c r="F536" s="6" t="str">
        <f>IFERROR(__xludf.DUMMYFUNCTION("""COMPUTED_VALUE"""),"Thriller")</f>
        <v>Thriller</v>
      </c>
      <c r="G536" s="6">
        <f>IFERROR(__xludf.DUMMYFUNCTION("""COMPUTED_VALUE"""),94.0)</f>
        <v>94</v>
      </c>
      <c r="H536" s="6">
        <f>IFERROR(__xludf.DUMMYFUNCTION("""COMPUTED_VALUE"""),1.0)</f>
        <v>1</v>
      </c>
      <c r="I536" s="6" t="str">
        <f>IFERROR(__xludf.DUMMYFUNCTION("""COMPUTED_VALUE"""),"Smart Tv")</f>
        <v>Smart Tv</v>
      </c>
      <c r="J536" s="6" t="str">
        <f>IFERROR(__xludf.DUMMYFUNCTION("""COMPUTED_VALUE"""),"Usa")</f>
        <v>Usa</v>
      </c>
      <c r="K536" s="6" t="str">
        <f>IFERROR(__xludf.DUMMYFUNCTION("""COMPUTED_VALUE"""),"Basic")</f>
        <v>Basic</v>
      </c>
      <c r="L536" s="6">
        <f>IFERROR(__xludf.DUMMYFUNCTION("""COMPUTED_VALUE"""),0.0)</f>
        <v>0</v>
      </c>
      <c r="M536" s="6" t="str">
        <f>IFERROR(__xludf.DUMMYFUNCTION("""COMPUTED_VALUE"""),"2023-06")</f>
        <v>2023-06</v>
      </c>
    </row>
    <row r="537">
      <c r="A537" s="6" t="str">
        <f>IFERROR(__xludf.DUMMYFUNCTION("""COMPUTED_VALUE"""),"aa0d9271-ce65-4725-a591-e4b88dc64391")</f>
        <v>aa0d9271-ce65-4725-a591-e4b88dc64391</v>
      </c>
      <c r="B537" s="6" t="str">
        <f>IFERROR(__xludf.DUMMYFUNCTION("""COMPUTED_VALUE"""),"e6beee44-2365-43c3-aa62-9932a02b46a7")</f>
        <v>e6beee44-2365-43c3-aa62-9932a02b46a7</v>
      </c>
      <c r="C537" s="7">
        <f>IFERROR(__xludf.DUMMYFUNCTION("""COMPUTED_VALUE"""),45008.0)</f>
        <v>45008</v>
      </c>
      <c r="D537" s="8">
        <f>IFERROR(__xludf.DUMMYFUNCTION("""COMPUTED_VALUE"""),7.9673808E7)</f>
        <v>79673808</v>
      </c>
      <c r="E537" s="6" t="str">
        <f>IFERROR(__xludf.DUMMYFUNCTION("""COMPUTED_VALUE"""),"MOVIE")</f>
        <v>MOVIE</v>
      </c>
      <c r="F537" s="6" t="str">
        <f>IFERROR(__xludf.DUMMYFUNCTION("""COMPUTED_VALUE"""),"Thriller")</f>
        <v>Thriller</v>
      </c>
      <c r="G537" s="6">
        <f>IFERROR(__xludf.DUMMYFUNCTION("""COMPUTED_VALUE"""),11.0)</f>
        <v>11</v>
      </c>
      <c r="H537" s="6">
        <f>IFERROR(__xludf.DUMMYFUNCTION("""COMPUTED_VALUE"""),0.0)</f>
        <v>0</v>
      </c>
      <c r="I537" s="6" t="str">
        <f>IFERROR(__xludf.DUMMYFUNCTION("""COMPUTED_VALUE"""),"Smart Tv")</f>
        <v>Smart Tv</v>
      </c>
      <c r="J537" s="6" t="str">
        <f>IFERROR(__xludf.DUMMYFUNCTION("""COMPUTED_VALUE"""),"France")</f>
        <v>France</v>
      </c>
      <c r="K537" s="6" t="str">
        <f>IFERROR(__xludf.DUMMYFUNCTION("""COMPUTED_VALUE"""),"Basic")</f>
        <v>Basic</v>
      </c>
      <c r="L537" s="6">
        <f>IFERROR(__xludf.DUMMYFUNCTION("""COMPUTED_VALUE"""),0.0)</f>
        <v>0</v>
      </c>
      <c r="M537" s="6" t="str">
        <f>IFERROR(__xludf.DUMMYFUNCTION("""COMPUTED_VALUE"""),"2023-03")</f>
        <v>2023-03</v>
      </c>
    </row>
    <row r="538">
      <c r="A538" s="6" t="str">
        <f>IFERROR(__xludf.DUMMYFUNCTION("""COMPUTED_VALUE"""),"a625421b-89e4-4be1-a016-b5b6bc8065f5")</f>
        <v>a625421b-89e4-4be1-a016-b5b6bc8065f5</v>
      </c>
      <c r="B538" s="6" t="str">
        <f>IFERROR(__xludf.DUMMYFUNCTION("""COMPUTED_VALUE"""),"e78914fe-2bc7-48b1-a62c-52594dc1ea3c")</f>
        <v>e78914fe-2bc7-48b1-a62c-52594dc1ea3c</v>
      </c>
      <c r="C538" s="7">
        <f>IFERROR(__xludf.DUMMYFUNCTION("""COMPUTED_VALUE"""),45181.0)</f>
        <v>45181</v>
      </c>
      <c r="D538" s="8">
        <f>IFERROR(__xludf.DUMMYFUNCTION("""COMPUTED_VALUE"""),4.8502344E7)</f>
        <v>48502344</v>
      </c>
      <c r="E538" s="6" t="str">
        <f>IFERROR(__xludf.DUMMYFUNCTION("""COMPUTED_VALUE"""),"SERIES")</f>
        <v>SERIES</v>
      </c>
      <c r="F538" s="6" t="str">
        <f>IFERROR(__xludf.DUMMYFUNCTION("""COMPUTED_VALUE"""),"Thriller")</f>
        <v>Thriller</v>
      </c>
      <c r="G538" s="6">
        <f>IFERROR(__xludf.DUMMYFUNCTION("""COMPUTED_VALUE"""),98.0)</f>
        <v>98</v>
      </c>
      <c r="H538" s="6">
        <f>IFERROR(__xludf.DUMMYFUNCTION("""COMPUTED_VALUE"""),0.0)</f>
        <v>0</v>
      </c>
      <c r="I538" s="6" t="str">
        <f>IFERROR(__xludf.DUMMYFUNCTION("""COMPUTED_VALUE"""),"Mobile")</f>
        <v>Mobile</v>
      </c>
      <c r="J538" s="6" t="str">
        <f>IFERROR(__xludf.DUMMYFUNCTION("""COMPUTED_VALUE"""),"Usa")</f>
        <v>Usa</v>
      </c>
      <c r="K538" s="6" t="str">
        <f>IFERROR(__xludf.DUMMYFUNCTION("""COMPUTED_VALUE"""),"Standard")</f>
        <v>Standard</v>
      </c>
      <c r="L538" s="6">
        <f>IFERROR(__xludf.DUMMYFUNCTION("""COMPUTED_VALUE"""),0.0)</f>
        <v>0</v>
      </c>
      <c r="M538" s="6" t="str">
        <f>IFERROR(__xludf.DUMMYFUNCTION("""COMPUTED_VALUE"""),"2023-09")</f>
        <v>2023-09</v>
      </c>
    </row>
    <row r="539">
      <c r="A539" s="6" t="str">
        <f>IFERROR(__xludf.DUMMYFUNCTION("""COMPUTED_VALUE"""),"3408850e-0fdc-46f4-aee6-0ff3492cd84e")</f>
        <v>3408850e-0fdc-46f4-aee6-0ff3492cd84e</v>
      </c>
      <c r="B539" s="6" t="str">
        <f>IFERROR(__xludf.DUMMYFUNCTION("""COMPUTED_VALUE"""),"e8896d30-802f-457f-9420-4c8205a04d2c")</f>
        <v>e8896d30-802f-457f-9420-4c8205a04d2c</v>
      </c>
      <c r="C539" s="7">
        <f>IFERROR(__xludf.DUMMYFUNCTION("""COMPUTED_VALUE"""),45045.0)</f>
        <v>45045</v>
      </c>
      <c r="D539" s="8">
        <f>IFERROR(__xludf.DUMMYFUNCTION("""COMPUTED_VALUE"""),8.0021377E7)</f>
        <v>80021377</v>
      </c>
      <c r="E539" s="6" t="str">
        <f>IFERROR(__xludf.DUMMYFUNCTION("""COMPUTED_VALUE"""),"SERIES")</f>
        <v>SERIES</v>
      </c>
      <c r="F539" s="6" t="str">
        <f>IFERROR(__xludf.DUMMYFUNCTION("""COMPUTED_VALUE"""),"Drama")</f>
        <v>Drama</v>
      </c>
      <c r="G539" s="6">
        <f>IFERROR(__xludf.DUMMYFUNCTION("""COMPUTED_VALUE"""),17.0)</f>
        <v>17</v>
      </c>
      <c r="H539" s="6">
        <f>IFERROR(__xludf.DUMMYFUNCTION("""COMPUTED_VALUE"""),1.0)</f>
        <v>1</v>
      </c>
      <c r="I539" s="6" t="str">
        <f>IFERROR(__xludf.DUMMYFUNCTION("""COMPUTED_VALUE"""),"Smart Tv")</f>
        <v>Smart Tv</v>
      </c>
      <c r="J539" s="6" t="str">
        <f>IFERROR(__xludf.DUMMYFUNCTION("""COMPUTED_VALUE"""),"Uk")</f>
        <v>Uk</v>
      </c>
      <c r="K539" s="6" t="str">
        <f>IFERROR(__xludf.DUMMYFUNCTION("""COMPUTED_VALUE"""),"Standard")</f>
        <v>Standard</v>
      </c>
      <c r="L539" s="6">
        <f>IFERROR(__xludf.DUMMYFUNCTION("""COMPUTED_VALUE"""),0.0)</f>
        <v>0</v>
      </c>
      <c r="M539" s="6" t="str">
        <f>IFERROR(__xludf.DUMMYFUNCTION("""COMPUTED_VALUE"""),"2023-04")</f>
        <v>2023-04</v>
      </c>
    </row>
    <row r="540">
      <c r="A540" s="6" t="str">
        <f>IFERROR(__xludf.DUMMYFUNCTION("""COMPUTED_VALUE"""),"8361915f-c93a-4911-9098-24375c146299")</f>
        <v>8361915f-c93a-4911-9098-24375c146299</v>
      </c>
      <c r="B540" s="6" t="str">
        <f>IFERROR(__xludf.DUMMYFUNCTION("""COMPUTED_VALUE"""),"e899330f-307e-451b-89d4-40a2e5851b22")</f>
        <v>e899330f-307e-451b-89d4-40a2e5851b22</v>
      </c>
      <c r="C540" s="7">
        <f>IFERROR(__xludf.DUMMYFUNCTION("""COMPUTED_VALUE"""),45281.0)</f>
        <v>45281</v>
      </c>
      <c r="D540" s="8">
        <f>IFERROR(__xludf.DUMMYFUNCTION("""COMPUTED_VALUE"""),5.000018E7)</f>
        <v>50000180</v>
      </c>
      <c r="E540" s="6" t="str">
        <f>IFERROR(__xludf.DUMMYFUNCTION("""COMPUTED_VALUE"""),"SERIES")</f>
        <v>SERIES</v>
      </c>
      <c r="F540" s="6" t="str">
        <f>IFERROR(__xludf.DUMMYFUNCTION("""COMPUTED_VALUE"""),"Drama")</f>
        <v>Drama</v>
      </c>
      <c r="G540" s="6">
        <f>IFERROR(__xludf.DUMMYFUNCTION("""COMPUTED_VALUE"""),126.0)</f>
        <v>126</v>
      </c>
      <c r="H540" s="6">
        <f>IFERROR(__xludf.DUMMYFUNCTION("""COMPUTED_VALUE"""),1.0)</f>
        <v>1</v>
      </c>
      <c r="I540" s="6" t="str">
        <f>IFERROR(__xludf.DUMMYFUNCTION("""COMPUTED_VALUE"""),"Mobile")</f>
        <v>Mobile</v>
      </c>
      <c r="J540" s="6" t="str">
        <f>IFERROR(__xludf.DUMMYFUNCTION("""COMPUTED_VALUE"""),"Germany")</f>
        <v>Germany</v>
      </c>
      <c r="K540" s="6" t="str">
        <f>IFERROR(__xludf.DUMMYFUNCTION("""COMPUTED_VALUE"""),"Standard")</f>
        <v>Standard</v>
      </c>
      <c r="L540" s="6">
        <f>IFERROR(__xludf.DUMMYFUNCTION("""COMPUTED_VALUE"""),0.0)</f>
        <v>0</v>
      </c>
      <c r="M540" s="6" t="str">
        <f>IFERROR(__xludf.DUMMYFUNCTION("""COMPUTED_VALUE"""),"2023-12")</f>
        <v>2023-12</v>
      </c>
    </row>
    <row r="541">
      <c r="A541" s="6" t="str">
        <f>IFERROR(__xludf.DUMMYFUNCTION("""COMPUTED_VALUE"""),"d11de576-19ce-4bfa-85bb-8af0e19ffc36")</f>
        <v>d11de576-19ce-4bfa-85bb-8af0e19ffc36</v>
      </c>
      <c r="B541" s="6" t="str">
        <f>IFERROR(__xludf.DUMMYFUNCTION("""COMPUTED_VALUE"""),"e8bd31cb-0d7b-4fe3-b931-ae2d1bda3501")</f>
        <v>e8bd31cb-0d7b-4fe3-b931-ae2d1bda3501</v>
      </c>
      <c r="C541" s="7">
        <f>IFERROR(__xludf.DUMMYFUNCTION("""COMPUTED_VALUE"""),45230.0)</f>
        <v>45230</v>
      </c>
      <c r="D541" s="8">
        <f>IFERROR(__xludf.DUMMYFUNCTION("""COMPUTED_VALUE"""),3.6938285E7)</f>
        <v>36938285</v>
      </c>
      <c r="E541" s="6" t="str">
        <f>IFERROR(__xludf.DUMMYFUNCTION("""COMPUTED_VALUE"""),"DOCUMENTARY")</f>
        <v>DOCUMENTARY</v>
      </c>
      <c r="F541" s="6" t="str">
        <f>IFERROR(__xludf.DUMMYFUNCTION("""COMPUTED_VALUE"""),"Sci-Fi")</f>
        <v>Sci-Fi</v>
      </c>
      <c r="G541" s="6">
        <f>IFERROR(__xludf.DUMMYFUNCTION("""COMPUTED_VALUE"""),179.0)</f>
        <v>179</v>
      </c>
      <c r="H541" s="6">
        <f>IFERROR(__xludf.DUMMYFUNCTION("""COMPUTED_VALUE"""),1.0)</f>
        <v>1</v>
      </c>
      <c r="I541" s="6" t="str">
        <f>IFERROR(__xludf.DUMMYFUNCTION("""COMPUTED_VALUE"""),"Tablet")</f>
        <v>Tablet</v>
      </c>
      <c r="J541" s="6" t="str">
        <f>IFERROR(__xludf.DUMMYFUNCTION("""COMPUTED_VALUE"""),"France")</f>
        <v>France</v>
      </c>
      <c r="K541" s="6" t="str">
        <f>IFERROR(__xludf.DUMMYFUNCTION("""COMPUTED_VALUE"""),"Premium")</f>
        <v>Premium</v>
      </c>
      <c r="L541" s="6">
        <f>IFERROR(__xludf.DUMMYFUNCTION("""COMPUTED_VALUE"""),0.0)</f>
        <v>0</v>
      </c>
      <c r="M541" s="6" t="str">
        <f>IFERROR(__xludf.DUMMYFUNCTION("""COMPUTED_VALUE"""),"2023-10")</f>
        <v>2023-10</v>
      </c>
    </row>
    <row r="542">
      <c r="A542" s="6" t="str">
        <f>IFERROR(__xludf.DUMMYFUNCTION("""COMPUTED_VALUE"""),"2869ef61-0215-485d-85af-2829b143f50c")</f>
        <v>2869ef61-0215-485d-85af-2829b143f50c</v>
      </c>
      <c r="B542" s="6" t="str">
        <f>IFERROR(__xludf.DUMMYFUNCTION("""COMPUTED_VALUE"""),"e965a118-e8d8-4d35-91f8-ddcb2db41871")</f>
        <v>e965a118-e8d8-4d35-91f8-ddcb2db41871</v>
      </c>
      <c r="C542" s="7">
        <f>IFERROR(__xludf.DUMMYFUNCTION("""COMPUTED_VALUE"""),45183.0)</f>
        <v>45183</v>
      </c>
      <c r="D542" s="8">
        <f>IFERROR(__xludf.DUMMYFUNCTION("""COMPUTED_VALUE"""),9.1165152E7)</f>
        <v>91165152</v>
      </c>
      <c r="E542" s="6" t="str">
        <f>IFERROR(__xludf.DUMMYFUNCTION("""COMPUTED_VALUE"""),"SERIES")</f>
        <v>SERIES</v>
      </c>
      <c r="F542" s="6" t="str">
        <f>IFERROR(__xludf.DUMMYFUNCTION("""COMPUTED_VALUE"""),"Action")</f>
        <v>Action</v>
      </c>
      <c r="G542" s="6">
        <f>IFERROR(__xludf.DUMMYFUNCTION("""COMPUTED_VALUE"""),43.0)</f>
        <v>43</v>
      </c>
      <c r="H542" s="6">
        <f>IFERROR(__xludf.DUMMYFUNCTION("""COMPUTED_VALUE"""),1.0)</f>
        <v>1</v>
      </c>
      <c r="I542" s="6" t="str">
        <f>IFERROR(__xludf.DUMMYFUNCTION("""COMPUTED_VALUE"""),"Desktop")</f>
        <v>Desktop</v>
      </c>
      <c r="J542" s="6" t="str">
        <f>IFERROR(__xludf.DUMMYFUNCTION("""COMPUTED_VALUE"""),"Uk")</f>
        <v>Uk</v>
      </c>
      <c r="K542" s="6" t="str">
        <f>IFERROR(__xludf.DUMMYFUNCTION("""COMPUTED_VALUE"""),"Basic")</f>
        <v>Basic</v>
      </c>
      <c r="L542" s="6">
        <f>IFERROR(__xludf.DUMMYFUNCTION("""COMPUTED_VALUE"""),0.0)</f>
        <v>0</v>
      </c>
      <c r="M542" s="6" t="str">
        <f>IFERROR(__xludf.DUMMYFUNCTION("""COMPUTED_VALUE"""),"2023-09")</f>
        <v>2023-09</v>
      </c>
    </row>
    <row r="543">
      <c r="A543" s="6" t="str">
        <f>IFERROR(__xludf.DUMMYFUNCTION("""COMPUTED_VALUE"""),"938e0f3e-acad-487e-9a6c-650f016e5a82")</f>
        <v>938e0f3e-acad-487e-9a6c-650f016e5a82</v>
      </c>
      <c r="B543" s="6" t="str">
        <f>IFERROR(__xludf.DUMMYFUNCTION("""COMPUTED_VALUE"""),"eb364c6f-7714-4922-b59b-4ee95015870d")</f>
        <v>eb364c6f-7714-4922-b59b-4ee95015870d</v>
      </c>
      <c r="C543" s="7">
        <f>IFERROR(__xludf.DUMMYFUNCTION("""COMPUTED_VALUE"""),45125.0)</f>
        <v>45125</v>
      </c>
      <c r="D543" s="8">
        <f>IFERROR(__xludf.DUMMYFUNCTION("""COMPUTED_VALUE"""),6475642.0)</f>
        <v>6475642</v>
      </c>
      <c r="E543" s="6" t="str">
        <f>IFERROR(__xludf.DUMMYFUNCTION("""COMPUTED_VALUE"""),"DOCUMENTARY")</f>
        <v>DOCUMENTARY</v>
      </c>
      <c r="F543" s="6" t="str">
        <f>IFERROR(__xludf.DUMMYFUNCTION("""COMPUTED_VALUE"""),"Drama")</f>
        <v>Drama</v>
      </c>
      <c r="G543" s="6">
        <f>IFERROR(__xludf.DUMMYFUNCTION("""COMPUTED_VALUE"""),160.0)</f>
        <v>160</v>
      </c>
      <c r="H543" s="6">
        <f>IFERROR(__xludf.DUMMYFUNCTION("""COMPUTED_VALUE"""),1.0)</f>
        <v>1</v>
      </c>
      <c r="I543" s="6" t="str">
        <f>IFERROR(__xludf.DUMMYFUNCTION("""COMPUTED_VALUE"""),"Smart Tv")</f>
        <v>Smart Tv</v>
      </c>
      <c r="J543" s="6" t="str">
        <f>IFERROR(__xludf.DUMMYFUNCTION("""COMPUTED_VALUE"""),"Uk")</f>
        <v>Uk</v>
      </c>
      <c r="K543" s="6" t="str">
        <f>IFERROR(__xludf.DUMMYFUNCTION("""COMPUTED_VALUE"""),"Basic")</f>
        <v>Basic</v>
      </c>
      <c r="L543" s="6">
        <f>IFERROR(__xludf.DUMMYFUNCTION("""COMPUTED_VALUE"""),0.0)</f>
        <v>0</v>
      </c>
      <c r="M543" s="6" t="str">
        <f>IFERROR(__xludf.DUMMYFUNCTION("""COMPUTED_VALUE"""),"2023-07")</f>
        <v>2023-07</v>
      </c>
    </row>
    <row r="544">
      <c r="A544" s="6" t="str">
        <f>IFERROR(__xludf.DUMMYFUNCTION("""COMPUTED_VALUE"""),"b5c75c9b-f549-4fe4-871d-b312aeee86d5")</f>
        <v>b5c75c9b-f549-4fe4-871d-b312aeee86d5</v>
      </c>
      <c r="B544" s="6" t="str">
        <f>IFERROR(__xludf.DUMMYFUNCTION("""COMPUTED_VALUE"""),"ebb05e2e-895b-43fd-a52b-8b4566cde895")</f>
        <v>ebb05e2e-895b-43fd-a52b-8b4566cde895</v>
      </c>
      <c r="C544" s="7">
        <f>IFERROR(__xludf.DUMMYFUNCTION("""COMPUTED_VALUE"""),45187.0)</f>
        <v>45187</v>
      </c>
      <c r="D544" s="8">
        <f>IFERROR(__xludf.DUMMYFUNCTION("""COMPUTED_VALUE"""),7.532283E7)</f>
        <v>75322830</v>
      </c>
      <c r="E544" s="6" t="str">
        <f>IFERROR(__xludf.DUMMYFUNCTION("""COMPUTED_VALUE"""),"DOCUMENTARY")</f>
        <v>DOCUMENTARY</v>
      </c>
      <c r="F544" s="6" t="str">
        <f>IFERROR(__xludf.DUMMYFUNCTION("""COMPUTED_VALUE"""),"Drama")</f>
        <v>Drama</v>
      </c>
      <c r="G544" s="6">
        <f>IFERROR(__xludf.DUMMYFUNCTION("""COMPUTED_VALUE"""),69.0)</f>
        <v>69</v>
      </c>
      <c r="H544" s="6">
        <f>IFERROR(__xludf.DUMMYFUNCTION("""COMPUTED_VALUE"""),1.0)</f>
        <v>1</v>
      </c>
      <c r="I544" s="6" t="str">
        <f>IFERROR(__xludf.DUMMYFUNCTION("""COMPUTED_VALUE"""),"Desktop")</f>
        <v>Desktop</v>
      </c>
      <c r="J544" s="6" t="str">
        <f>IFERROR(__xludf.DUMMYFUNCTION("""COMPUTED_VALUE"""),"Usa")</f>
        <v>Usa</v>
      </c>
      <c r="K544" s="6" t="str">
        <f>IFERROR(__xludf.DUMMYFUNCTION("""COMPUTED_VALUE"""),"Standard")</f>
        <v>Standard</v>
      </c>
      <c r="L544" s="6">
        <f>IFERROR(__xludf.DUMMYFUNCTION("""COMPUTED_VALUE"""),0.0)</f>
        <v>0</v>
      </c>
      <c r="M544" s="6" t="str">
        <f>IFERROR(__xludf.DUMMYFUNCTION("""COMPUTED_VALUE"""),"2023-09")</f>
        <v>2023-09</v>
      </c>
    </row>
    <row r="545">
      <c r="A545" s="6" t="str">
        <f>IFERROR(__xludf.DUMMYFUNCTION("""COMPUTED_VALUE"""),"31389d17-cd94-4163-8dfc-ed8375a92150")</f>
        <v>31389d17-cd94-4163-8dfc-ed8375a92150</v>
      </c>
      <c r="B545" s="6" t="str">
        <f>IFERROR(__xludf.DUMMYFUNCTION("""COMPUTED_VALUE"""),"ec3b9a45-fe86-465c-98ce-17601b67ea42")</f>
        <v>ec3b9a45-fe86-465c-98ce-17601b67ea42</v>
      </c>
      <c r="C545" s="7">
        <f>IFERROR(__xludf.DUMMYFUNCTION("""COMPUTED_VALUE"""),45287.0)</f>
        <v>45287</v>
      </c>
      <c r="D545" s="8">
        <f>IFERROR(__xludf.DUMMYFUNCTION("""COMPUTED_VALUE"""),9.9582159E7)</f>
        <v>99582159</v>
      </c>
      <c r="E545" s="6" t="str">
        <f>IFERROR(__xludf.DUMMYFUNCTION("""COMPUTED_VALUE"""),"DOCUMENTARY")</f>
        <v>DOCUMENTARY</v>
      </c>
      <c r="F545" s="6" t="str">
        <f>IFERROR(__xludf.DUMMYFUNCTION("""COMPUTED_VALUE"""),"Thriller")</f>
        <v>Thriller</v>
      </c>
      <c r="G545" s="6">
        <f>IFERROR(__xludf.DUMMYFUNCTION("""COMPUTED_VALUE"""),46.0)</f>
        <v>46</v>
      </c>
      <c r="H545" s="6">
        <f>IFERROR(__xludf.DUMMYFUNCTION("""COMPUTED_VALUE"""),1.0)</f>
        <v>1</v>
      </c>
      <c r="I545" s="6" t="str">
        <f>IFERROR(__xludf.DUMMYFUNCTION("""COMPUTED_VALUE"""),"Smart Tv")</f>
        <v>Smart Tv</v>
      </c>
      <c r="J545" s="6" t="str">
        <f>IFERROR(__xludf.DUMMYFUNCTION("""COMPUTED_VALUE"""),"Uk")</f>
        <v>Uk</v>
      </c>
      <c r="K545" s="6" t="str">
        <f>IFERROR(__xludf.DUMMYFUNCTION("""COMPUTED_VALUE"""),"Basic")</f>
        <v>Basic</v>
      </c>
      <c r="L545" s="6">
        <f>IFERROR(__xludf.DUMMYFUNCTION("""COMPUTED_VALUE"""),0.0)</f>
        <v>0</v>
      </c>
      <c r="M545" s="6" t="str">
        <f>IFERROR(__xludf.DUMMYFUNCTION("""COMPUTED_VALUE"""),"2023-12")</f>
        <v>2023-12</v>
      </c>
    </row>
    <row r="546">
      <c r="A546" s="6" t="str">
        <f>IFERROR(__xludf.DUMMYFUNCTION("""COMPUTED_VALUE"""),"9b28fcc2-c555-4816-8fd6-82749f9e4255")</f>
        <v>9b28fcc2-c555-4816-8fd6-82749f9e4255</v>
      </c>
      <c r="B546" s="6" t="str">
        <f>IFERROR(__xludf.DUMMYFUNCTION("""COMPUTED_VALUE"""),"ec725b82-56c0-42a1-8d47-990e231097ae")</f>
        <v>ec725b82-56c0-42a1-8d47-990e231097ae</v>
      </c>
      <c r="C546" s="7">
        <f>IFERROR(__xludf.DUMMYFUNCTION("""COMPUTED_VALUE"""),45245.0)</f>
        <v>45245</v>
      </c>
      <c r="D546" s="8">
        <f>IFERROR(__xludf.DUMMYFUNCTION("""COMPUTED_VALUE"""),7.7976925E7)</f>
        <v>77976925</v>
      </c>
      <c r="E546" s="6" t="str">
        <f>IFERROR(__xludf.DUMMYFUNCTION("""COMPUTED_VALUE"""),"SERIES")</f>
        <v>SERIES</v>
      </c>
      <c r="F546" s="6" t="str">
        <f>IFERROR(__xludf.DUMMYFUNCTION("""COMPUTED_VALUE"""),"Sci-Fi")</f>
        <v>Sci-Fi</v>
      </c>
      <c r="G546" s="6">
        <f>IFERROR(__xludf.DUMMYFUNCTION("""COMPUTED_VALUE"""),44.0)</f>
        <v>44</v>
      </c>
      <c r="H546" s="6">
        <f>IFERROR(__xludf.DUMMYFUNCTION("""COMPUTED_VALUE"""),1.0)</f>
        <v>1</v>
      </c>
      <c r="I546" s="6" t="str">
        <f>IFERROR(__xludf.DUMMYFUNCTION("""COMPUTED_VALUE"""),"Tablet")</f>
        <v>Tablet</v>
      </c>
      <c r="J546" s="6" t="str">
        <f>IFERROR(__xludf.DUMMYFUNCTION("""COMPUTED_VALUE"""),"Germany")</f>
        <v>Germany</v>
      </c>
      <c r="K546" s="6" t="str">
        <f>IFERROR(__xludf.DUMMYFUNCTION("""COMPUTED_VALUE"""),"Basic")</f>
        <v>Basic</v>
      </c>
      <c r="L546" s="6">
        <f>IFERROR(__xludf.DUMMYFUNCTION("""COMPUTED_VALUE"""),0.0)</f>
        <v>0</v>
      </c>
      <c r="M546" s="6" t="str">
        <f>IFERROR(__xludf.DUMMYFUNCTION("""COMPUTED_VALUE"""),"2023-11")</f>
        <v>2023-11</v>
      </c>
    </row>
    <row r="547">
      <c r="A547" s="6" t="str">
        <f>IFERROR(__xludf.DUMMYFUNCTION("""COMPUTED_VALUE"""),"b25ab80e-b991-4797-9ffb-f8a0f8c6034c")</f>
        <v>b25ab80e-b991-4797-9ffb-f8a0f8c6034c</v>
      </c>
      <c r="B547" s="6" t="str">
        <f>IFERROR(__xludf.DUMMYFUNCTION("""COMPUTED_VALUE"""),"ed44e0f0-6a9e-42f8-be21-744850bfbebb")</f>
        <v>ed44e0f0-6a9e-42f8-be21-744850bfbebb</v>
      </c>
      <c r="C547" s="7">
        <f>IFERROR(__xludf.DUMMYFUNCTION("""COMPUTED_VALUE"""),45182.0)</f>
        <v>45182</v>
      </c>
      <c r="D547" s="8">
        <f>IFERROR(__xludf.DUMMYFUNCTION("""COMPUTED_VALUE"""),4.6405371E7)</f>
        <v>46405371</v>
      </c>
      <c r="E547" s="6" t="str">
        <f>IFERROR(__xludf.DUMMYFUNCTION("""COMPUTED_VALUE"""),"MOVIE")</f>
        <v>MOVIE</v>
      </c>
      <c r="F547" s="6" t="str">
        <f>IFERROR(__xludf.DUMMYFUNCTION("""COMPUTED_VALUE"""),"Sci-Fi")</f>
        <v>Sci-Fi</v>
      </c>
      <c r="G547" s="6">
        <f>IFERROR(__xludf.DUMMYFUNCTION("""COMPUTED_VALUE"""),169.0)</f>
        <v>169</v>
      </c>
      <c r="H547" s="6">
        <f>IFERROR(__xludf.DUMMYFUNCTION("""COMPUTED_VALUE"""),0.0)</f>
        <v>0</v>
      </c>
      <c r="I547" s="6" t="str">
        <f>IFERROR(__xludf.DUMMYFUNCTION("""COMPUTED_VALUE"""),"Tablet")</f>
        <v>Tablet</v>
      </c>
      <c r="J547" s="6" t="str">
        <f>IFERROR(__xludf.DUMMYFUNCTION("""COMPUTED_VALUE"""),"Usa")</f>
        <v>Usa</v>
      </c>
      <c r="K547" s="6" t="str">
        <f>IFERROR(__xludf.DUMMYFUNCTION("""COMPUTED_VALUE"""),"Premium")</f>
        <v>Premium</v>
      </c>
      <c r="L547" s="6">
        <f>IFERROR(__xludf.DUMMYFUNCTION("""COMPUTED_VALUE"""),0.0)</f>
        <v>0</v>
      </c>
      <c r="M547" s="6" t="str">
        <f>IFERROR(__xludf.DUMMYFUNCTION("""COMPUTED_VALUE"""),"2023-09")</f>
        <v>2023-09</v>
      </c>
    </row>
    <row r="548">
      <c r="A548" s="6" t="str">
        <f>IFERROR(__xludf.DUMMYFUNCTION("""COMPUTED_VALUE"""),"a2885899-1010-4768-93f1-40803c0dd51a")</f>
        <v>a2885899-1010-4768-93f1-40803c0dd51a</v>
      </c>
      <c r="B548" s="6" t="str">
        <f>IFERROR(__xludf.DUMMYFUNCTION("""COMPUTED_VALUE"""),"ed652fc2-4fd3-48ae-b7e2-c6f88b17be8d")</f>
        <v>ed652fc2-4fd3-48ae-b7e2-c6f88b17be8d</v>
      </c>
      <c r="C548" s="7">
        <f>IFERROR(__xludf.DUMMYFUNCTION("""COMPUTED_VALUE"""),45237.0)</f>
        <v>45237</v>
      </c>
      <c r="D548" s="8">
        <f>IFERROR(__xludf.DUMMYFUNCTION("""COMPUTED_VALUE"""),7.1349435E7)</f>
        <v>71349435</v>
      </c>
      <c r="E548" s="6" t="str">
        <f>IFERROR(__xludf.DUMMYFUNCTION("""COMPUTED_VALUE"""),"MOVIE")</f>
        <v>MOVIE</v>
      </c>
      <c r="F548" s="6" t="str">
        <f>IFERROR(__xludf.DUMMYFUNCTION("""COMPUTED_VALUE"""),"Comedy")</f>
        <v>Comedy</v>
      </c>
      <c r="G548" s="6">
        <f>IFERROR(__xludf.DUMMYFUNCTION("""COMPUTED_VALUE"""),48.0)</f>
        <v>48</v>
      </c>
      <c r="H548" s="6">
        <f>IFERROR(__xludf.DUMMYFUNCTION("""COMPUTED_VALUE"""),1.0)</f>
        <v>1</v>
      </c>
      <c r="I548" s="6" t="str">
        <f>IFERROR(__xludf.DUMMYFUNCTION("""COMPUTED_VALUE"""),"Desktop")</f>
        <v>Desktop</v>
      </c>
      <c r="J548" s="6" t="str">
        <f>IFERROR(__xludf.DUMMYFUNCTION("""COMPUTED_VALUE"""),"Germany")</f>
        <v>Germany</v>
      </c>
      <c r="K548" s="6" t="str">
        <f>IFERROR(__xludf.DUMMYFUNCTION("""COMPUTED_VALUE"""),"Premium")</f>
        <v>Premium</v>
      </c>
      <c r="L548" s="6">
        <f>IFERROR(__xludf.DUMMYFUNCTION("""COMPUTED_VALUE"""),0.0)</f>
        <v>0</v>
      </c>
      <c r="M548" s="6" t="str">
        <f>IFERROR(__xludf.DUMMYFUNCTION("""COMPUTED_VALUE"""),"2023-11")</f>
        <v>2023-11</v>
      </c>
    </row>
    <row r="549">
      <c r="A549" s="6" t="str">
        <f>IFERROR(__xludf.DUMMYFUNCTION("""COMPUTED_VALUE"""),"92c6cedf-29e6-42e4-9685-da721a47dfab")</f>
        <v>92c6cedf-29e6-42e4-9685-da721a47dfab</v>
      </c>
      <c r="B549" s="6" t="str">
        <f>IFERROR(__xludf.DUMMYFUNCTION("""COMPUTED_VALUE"""),"ed7631fc-71e1-4a87-a8c9-0d4157f0d170")</f>
        <v>ed7631fc-71e1-4a87-a8c9-0d4157f0d170</v>
      </c>
      <c r="C549" s="7">
        <f>IFERROR(__xludf.DUMMYFUNCTION("""COMPUTED_VALUE"""),45033.0)</f>
        <v>45033</v>
      </c>
      <c r="D549" s="8">
        <f>IFERROR(__xludf.DUMMYFUNCTION("""COMPUTED_VALUE"""),4.4777616E7)</f>
        <v>44777616</v>
      </c>
      <c r="E549" s="6" t="str">
        <f>IFERROR(__xludf.DUMMYFUNCTION("""COMPUTED_VALUE"""),"DOCUMENTARY")</f>
        <v>DOCUMENTARY</v>
      </c>
      <c r="F549" s="6" t="str">
        <f>IFERROR(__xludf.DUMMYFUNCTION("""COMPUTED_VALUE"""),"Drama")</f>
        <v>Drama</v>
      </c>
      <c r="G549" s="6">
        <f>IFERROR(__xludf.DUMMYFUNCTION("""COMPUTED_VALUE"""),100.0)</f>
        <v>100</v>
      </c>
      <c r="H549" s="6">
        <f>IFERROR(__xludf.DUMMYFUNCTION("""COMPUTED_VALUE"""),1.0)</f>
        <v>1</v>
      </c>
      <c r="I549" s="6" t="str">
        <f>IFERROR(__xludf.DUMMYFUNCTION("""COMPUTED_VALUE"""),"Desktop")</f>
        <v>Desktop</v>
      </c>
      <c r="J549" s="6" t="str">
        <f>IFERROR(__xludf.DUMMYFUNCTION("""COMPUTED_VALUE"""),"India")</f>
        <v>India</v>
      </c>
      <c r="K549" s="6" t="str">
        <f>IFERROR(__xludf.DUMMYFUNCTION("""COMPUTED_VALUE"""),"Standard")</f>
        <v>Standard</v>
      </c>
      <c r="L549" s="6">
        <f>IFERROR(__xludf.DUMMYFUNCTION("""COMPUTED_VALUE"""),0.0)</f>
        <v>0</v>
      </c>
      <c r="M549" s="6" t="str">
        <f>IFERROR(__xludf.DUMMYFUNCTION("""COMPUTED_VALUE"""),"2023-04")</f>
        <v>2023-04</v>
      </c>
    </row>
    <row r="550">
      <c r="A550" s="6" t="str">
        <f>IFERROR(__xludf.DUMMYFUNCTION("""COMPUTED_VALUE"""),"448f6e9f-18e5-421f-a0df-b68bb88b1b71")</f>
        <v>448f6e9f-18e5-421f-a0df-b68bb88b1b71</v>
      </c>
      <c r="B550" s="6" t="str">
        <f>IFERROR(__xludf.DUMMYFUNCTION("""COMPUTED_VALUE"""),"edbea3f2-f521-44fa-9153-94cf429fff36")</f>
        <v>edbea3f2-f521-44fa-9153-94cf429fff36</v>
      </c>
      <c r="C550" s="7">
        <f>IFERROR(__xludf.DUMMYFUNCTION("""COMPUTED_VALUE"""),45101.0)</f>
        <v>45101</v>
      </c>
      <c r="D550" s="8">
        <f>IFERROR(__xludf.DUMMYFUNCTION("""COMPUTED_VALUE"""),1.6771635E7)</f>
        <v>16771635</v>
      </c>
      <c r="E550" s="6" t="str">
        <f>IFERROR(__xludf.DUMMYFUNCTION("""COMPUTED_VALUE"""),"DOCUMENTARY")</f>
        <v>DOCUMENTARY</v>
      </c>
      <c r="F550" s="6" t="str">
        <f>IFERROR(__xludf.DUMMYFUNCTION("""COMPUTED_VALUE"""),"Comedy")</f>
        <v>Comedy</v>
      </c>
      <c r="G550" s="6">
        <f>IFERROR(__xludf.DUMMYFUNCTION("""COMPUTED_VALUE"""),142.0)</f>
        <v>142</v>
      </c>
      <c r="H550" s="6">
        <f>IFERROR(__xludf.DUMMYFUNCTION("""COMPUTED_VALUE"""),1.0)</f>
        <v>1</v>
      </c>
      <c r="I550" s="6" t="str">
        <f>IFERROR(__xludf.DUMMYFUNCTION("""COMPUTED_VALUE"""),"Mobile")</f>
        <v>Mobile</v>
      </c>
      <c r="J550" s="6" t="str">
        <f>IFERROR(__xludf.DUMMYFUNCTION("""COMPUTED_VALUE"""),"India")</f>
        <v>India</v>
      </c>
      <c r="K550" s="6" t="str">
        <f>IFERROR(__xludf.DUMMYFUNCTION("""COMPUTED_VALUE"""),"Basic")</f>
        <v>Basic</v>
      </c>
      <c r="L550" s="6">
        <f>IFERROR(__xludf.DUMMYFUNCTION("""COMPUTED_VALUE"""),0.0)</f>
        <v>0</v>
      </c>
      <c r="M550" s="6" t="str">
        <f>IFERROR(__xludf.DUMMYFUNCTION("""COMPUTED_VALUE"""),"2023-06")</f>
        <v>2023-06</v>
      </c>
    </row>
    <row r="551">
      <c r="A551" s="6" t="str">
        <f>IFERROR(__xludf.DUMMYFUNCTION("""COMPUTED_VALUE"""),"6d93be7f-a442-4f4c-b5f2-46538968e51e")</f>
        <v>6d93be7f-a442-4f4c-b5f2-46538968e51e</v>
      </c>
      <c r="B551" s="6" t="str">
        <f>IFERROR(__xludf.DUMMYFUNCTION("""COMPUTED_VALUE"""),"edc8d3c0-1953-4cdc-965a-e82b24db4e0c")</f>
        <v>edc8d3c0-1953-4cdc-965a-e82b24db4e0c</v>
      </c>
      <c r="C551" s="7">
        <f>IFERROR(__xludf.DUMMYFUNCTION("""COMPUTED_VALUE"""),45154.0)</f>
        <v>45154</v>
      </c>
      <c r="D551" s="8">
        <f>IFERROR(__xludf.DUMMYFUNCTION("""COMPUTED_VALUE"""),6435721.0)</f>
        <v>6435721</v>
      </c>
      <c r="E551" s="6" t="str">
        <f>IFERROR(__xludf.DUMMYFUNCTION("""COMPUTED_VALUE"""),"DOCUMENTARY")</f>
        <v>DOCUMENTARY</v>
      </c>
      <c r="F551" s="6" t="str">
        <f>IFERROR(__xludf.DUMMYFUNCTION("""COMPUTED_VALUE"""),"Comedy")</f>
        <v>Comedy</v>
      </c>
      <c r="G551" s="6">
        <f>IFERROR(__xludf.DUMMYFUNCTION("""COMPUTED_VALUE"""),56.0)</f>
        <v>56</v>
      </c>
      <c r="H551" s="6">
        <f>IFERROR(__xludf.DUMMYFUNCTION("""COMPUTED_VALUE"""),1.0)</f>
        <v>1</v>
      </c>
      <c r="I551" s="6" t="str">
        <f>IFERROR(__xludf.DUMMYFUNCTION("""COMPUTED_VALUE"""),"Smart Tv")</f>
        <v>Smart Tv</v>
      </c>
      <c r="J551" s="6" t="str">
        <f>IFERROR(__xludf.DUMMYFUNCTION("""COMPUTED_VALUE"""),"Uk")</f>
        <v>Uk</v>
      </c>
      <c r="K551" s="6" t="str">
        <f>IFERROR(__xludf.DUMMYFUNCTION("""COMPUTED_VALUE"""),"Standard")</f>
        <v>Standard</v>
      </c>
      <c r="L551" s="6">
        <f>IFERROR(__xludf.DUMMYFUNCTION("""COMPUTED_VALUE"""),0.0)</f>
        <v>0</v>
      </c>
      <c r="M551" s="6" t="str">
        <f>IFERROR(__xludf.DUMMYFUNCTION("""COMPUTED_VALUE"""),"2023-08")</f>
        <v>2023-08</v>
      </c>
    </row>
    <row r="552">
      <c r="A552" s="6" t="str">
        <f>IFERROR(__xludf.DUMMYFUNCTION("""COMPUTED_VALUE"""),"7f512cb6-5df2-4440-a52f-2cc02d6b5f4d")</f>
        <v>7f512cb6-5df2-4440-a52f-2cc02d6b5f4d</v>
      </c>
      <c r="B552" s="6" t="str">
        <f>IFERROR(__xludf.DUMMYFUNCTION("""COMPUTED_VALUE"""),"edeeb492-8e30-4090-9ad8-b8328f49901b")</f>
        <v>edeeb492-8e30-4090-9ad8-b8328f49901b</v>
      </c>
      <c r="C552" s="7">
        <f>IFERROR(__xludf.DUMMYFUNCTION("""COMPUTED_VALUE"""),45014.0)</f>
        <v>45014</v>
      </c>
      <c r="D552" s="8">
        <f>IFERROR(__xludf.DUMMYFUNCTION("""COMPUTED_VALUE"""),2.0842161E7)</f>
        <v>20842161</v>
      </c>
      <c r="E552" s="6" t="str">
        <f>IFERROR(__xludf.DUMMYFUNCTION("""COMPUTED_VALUE"""),"SERIES")</f>
        <v>SERIES</v>
      </c>
      <c r="F552" s="6" t="str">
        <f>IFERROR(__xludf.DUMMYFUNCTION("""COMPUTED_VALUE"""),"Sci-Fi")</f>
        <v>Sci-Fi</v>
      </c>
      <c r="G552" s="6">
        <f>IFERROR(__xludf.DUMMYFUNCTION("""COMPUTED_VALUE"""),95.0)</f>
        <v>95</v>
      </c>
      <c r="H552" s="6">
        <f>IFERROR(__xludf.DUMMYFUNCTION("""COMPUTED_VALUE"""),1.0)</f>
        <v>1</v>
      </c>
      <c r="I552" s="6" t="str">
        <f>IFERROR(__xludf.DUMMYFUNCTION("""COMPUTED_VALUE"""),"Smart Tv")</f>
        <v>Smart Tv</v>
      </c>
      <c r="J552" s="6" t="str">
        <f>IFERROR(__xludf.DUMMYFUNCTION("""COMPUTED_VALUE"""),"India")</f>
        <v>India</v>
      </c>
      <c r="K552" s="6" t="str">
        <f>IFERROR(__xludf.DUMMYFUNCTION("""COMPUTED_VALUE"""),"Basic")</f>
        <v>Basic</v>
      </c>
      <c r="L552" s="6">
        <f>IFERROR(__xludf.DUMMYFUNCTION("""COMPUTED_VALUE"""),0.0)</f>
        <v>0</v>
      </c>
      <c r="M552" s="6" t="str">
        <f>IFERROR(__xludf.DUMMYFUNCTION("""COMPUTED_VALUE"""),"2023-03")</f>
        <v>2023-03</v>
      </c>
    </row>
    <row r="553">
      <c r="A553" s="6" t="str">
        <f>IFERROR(__xludf.DUMMYFUNCTION("""COMPUTED_VALUE"""),"e6f87c17-d62c-4c21-95f1-c7f3acb3e64b")</f>
        <v>e6f87c17-d62c-4c21-95f1-c7f3acb3e64b</v>
      </c>
      <c r="B553" s="6" t="str">
        <f>IFERROR(__xludf.DUMMYFUNCTION("""COMPUTED_VALUE"""),"efccc53c-4a2c-4395-9a0a-b7e076634b9f")</f>
        <v>efccc53c-4a2c-4395-9a0a-b7e076634b9f</v>
      </c>
      <c r="C553" s="7">
        <f>IFERROR(__xludf.DUMMYFUNCTION("""COMPUTED_VALUE"""),45144.0)</f>
        <v>45144</v>
      </c>
      <c r="D553" s="8">
        <f>IFERROR(__xludf.DUMMYFUNCTION("""COMPUTED_VALUE"""),8.5957169E7)</f>
        <v>85957169</v>
      </c>
      <c r="E553" s="6" t="str">
        <f>IFERROR(__xludf.DUMMYFUNCTION("""COMPUTED_VALUE"""),"SERIES")</f>
        <v>SERIES</v>
      </c>
      <c r="F553" s="6" t="str">
        <f>IFERROR(__xludf.DUMMYFUNCTION("""COMPUTED_VALUE"""),"Comedy")</f>
        <v>Comedy</v>
      </c>
      <c r="G553" s="6">
        <f>IFERROR(__xludf.DUMMYFUNCTION("""COMPUTED_VALUE"""),128.0)</f>
        <v>128</v>
      </c>
      <c r="H553" s="6">
        <f>IFERROR(__xludf.DUMMYFUNCTION("""COMPUTED_VALUE"""),1.0)</f>
        <v>1</v>
      </c>
      <c r="I553" s="6" t="str">
        <f>IFERROR(__xludf.DUMMYFUNCTION("""COMPUTED_VALUE"""),"Smart Tv")</f>
        <v>Smart Tv</v>
      </c>
      <c r="J553" s="6" t="str">
        <f>IFERROR(__xludf.DUMMYFUNCTION("""COMPUTED_VALUE"""),"Uk")</f>
        <v>Uk</v>
      </c>
      <c r="K553" s="6" t="str">
        <f>IFERROR(__xludf.DUMMYFUNCTION("""COMPUTED_VALUE"""),"Premium")</f>
        <v>Premium</v>
      </c>
      <c r="L553" s="6">
        <f>IFERROR(__xludf.DUMMYFUNCTION("""COMPUTED_VALUE"""),0.0)</f>
        <v>0</v>
      </c>
      <c r="M553" s="6" t="str">
        <f>IFERROR(__xludf.DUMMYFUNCTION("""COMPUTED_VALUE"""),"2023-08")</f>
        <v>2023-08</v>
      </c>
    </row>
    <row r="554">
      <c r="A554" s="6" t="str">
        <f>IFERROR(__xludf.DUMMYFUNCTION("""COMPUTED_VALUE"""),"89440eca-2ab6-4b1d-aa56-11a202b1863c")</f>
        <v>89440eca-2ab6-4b1d-aa56-11a202b1863c</v>
      </c>
      <c r="B554" s="6" t="str">
        <f>IFERROR(__xludf.DUMMYFUNCTION("""COMPUTED_VALUE"""),"f00ed2c9-1dfe-49a9-8cdd-88dd1868151b")</f>
        <v>f00ed2c9-1dfe-49a9-8cdd-88dd1868151b</v>
      </c>
      <c r="C554" s="7">
        <f>IFERROR(__xludf.DUMMYFUNCTION("""COMPUTED_VALUE"""),45170.0)</f>
        <v>45170</v>
      </c>
      <c r="D554" s="8">
        <f>IFERROR(__xludf.DUMMYFUNCTION("""COMPUTED_VALUE"""),8.7406559E7)</f>
        <v>87406559</v>
      </c>
      <c r="E554" s="6" t="str">
        <f>IFERROR(__xludf.DUMMYFUNCTION("""COMPUTED_VALUE"""),"DOCUMENTARY")</f>
        <v>DOCUMENTARY</v>
      </c>
      <c r="F554" s="6" t="str">
        <f>IFERROR(__xludf.DUMMYFUNCTION("""COMPUTED_VALUE"""),"Drama")</f>
        <v>Drama</v>
      </c>
      <c r="G554" s="6">
        <f>IFERROR(__xludf.DUMMYFUNCTION("""COMPUTED_VALUE"""),108.0)</f>
        <v>108</v>
      </c>
      <c r="H554" s="6">
        <f>IFERROR(__xludf.DUMMYFUNCTION("""COMPUTED_VALUE"""),1.0)</f>
        <v>1</v>
      </c>
      <c r="I554" s="6" t="str">
        <f>IFERROR(__xludf.DUMMYFUNCTION("""COMPUTED_VALUE"""),"Mobile")</f>
        <v>Mobile</v>
      </c>
      <c r="J554" s="6" t="str">
        <f>IFERROR(__xludf.DUMMYFUNCTION("""COMPUTED_VALUE"""),"France")</f>
        <v>France</v>
      </c>
      <c r="K554" s="6" t="str">
        <f>IFERROR(__xludf.DUMMYFUNCTION("""COMPUTED_VALUE"""),"Standard")</f>
        <v>Standard</v>
      </c>
      <c r="L554" s="6">
        <f>IFERROR(__xludf.DUMMYFUNCTION("""COMPUTED_VALUE"""),0.0)</f>
        <v>0</v>
      </c>
      <c r="M554" s="6" t="str">
        <f>IFERROR(__xludf.DUMMYFUNCTION("""COMPUTED_VALUE"""),"2023-09")</f>
        <v>2023-09</v>
      </c>
    </row>
    <row r="555">
      <c r="A555" s="6" t="str">
        <f>IFERROR(__xludf.DUMMYFUNCTION("""COMPUTED_VALUE"""),"f15fefa4-d84c-4087-9812-1beef7892518")</f>
        <v>f15fefa4-d84c-4087-9812-1beef7892518</v>
      </c>
      <c r="B555" s="6" t="str">
        <f>IFERROR(__xludf.DUMMYFUNCTION("""COMPUTED_VALUE"""),"f05d8006-f3c3-40d8-b9f0-9b0ebf4c490e")</f>
        <v>f05d8006-f3c3-40d8-b9f0-9b0ebf4c490e</v>
      </c>
      <c r="C555" s="7">
        <f>IFERROR(__xludf.DUMMYFUNCTION("""COMPUTED_VALUE"""),45045.0)</f>
        <v>45045</v>
      </c>
      <c r="D555" s="8">
        <f>IFERROR(__xludf.DUMMYFUNCTION("""COMPUTED_VALUE"""),3.258789E7)</f>
        <v>32587890</v>
      </c>
      <c r="E555" s="6" t="str">
        <f>IFERROR(__xludf.DUMMYFUNCTION("""COMPUTED_VALUE"""),"DOCUMENTARY")</f>
        <v>DOCUMENTARY</v>
      </c>
      <c r="F555" s="6" t="str">
        <f>IFERROR(__xludf.DUMMYFUNCTION("""COMPUTED_VALUE"""),"Action")</f>
        <v>Action</v>
      </c>
      <c r="G555" s="6">
        <f>IFERROR(__xludf.DUMMYFUNCTION("""COMPUTED_VALUE"""),62.0)</f>
        <v>62</v>
      </c>
      <c r="H555" s="6">
        <f>IFERROR(__xludf.DUMMYFUNCTION("""COMPUTED_VALUE"""),1.0)</f>
        <v>1</v>
      </c>
      <c r="I555" s="6" t="str">
        <f>IFERROR(__xludf.DUMMYFUNCTION("""COMPUTED_VALUE"""),"Tablet")</f>
        <v>Tablet</v>
      </c>
      <c r="J555" s="6" t="str">
        <f>IFERROR(__xludf.DUMMYFUNCTION("""COMPUTED_VALUE"""),"Uk")</f>
        <v>Uk</v>
      </c>
      <c r="K555" s="6" t="str">
        <f>IFERROR(__xludf.DUMMYFUNCTION("""COMPUTED_VALUE"""),"Basic")</f>
        <v>Basic</v>
      </c>
      <c r="L555" s="6">
        <f>IFERROR(__xludf.DUMMYFUNCTION("""COMPUTED_VALUE"""),0.0)</f>
        <v>0</v>
      </c>
      <c r="M555" s="6" t="str">
        <f>IFERROR(__xludf.DUMMYFUNCTION("""COMPUTED_VALUE"""),"2023-04")</f>
        <v>2023-04</v>
      </c>
    </row>
    <row r="556">
      <c r="A556" s="6" t="str">
        <f>IFERROR(__xludf.DUMMYFUNCTION("""COMPUTED_VALUE"""),"2f0d40d0-6a33-40f9-bd26-8a1ea8b1bb31")</f>
        <v>2f0d40d0-6a33-40f9-bd26-8a1ea8b1bb31</v>
      </c>
      <c r="B556" s="6" t="str">
        <f>IFERROR(__xludf.DUMMYFUNCTION("""COMPUTED_VALUE"""),"f1c52f75-54a6-4a87-90f2-fbb653f25876")</f>
        <v>f1c52f75-54a6-4a87-90f2-fbb653f25876</v>
      </c>
      <c r="C556" s="7">
        <f>IFERROR(__xludf.DUMMYFUNCTION("""COMPUTED_VALUE"""),45193.0)</f>
        <v>45193</v>
      </c>
      <c r="D556" s="8">
        <f>IFERROR(__xludf.DUMMYFUNCTION("""COMPUTED_VALUE"""),2.0303723E7)</f>
        <v>20303723</v>
      </c>
      <c r="E556" s="6" t="str">
        <f>IFERROR(__xludf.DUMMYFUNCTION("""COMPUTED_VALUE"""),"MOVIE")</f>
        <v>MOVIE</v>
      </c>
      <c r="F556" s="6" t="str">
        <f>IFERROR(__xludf.DUMMYFUNCTION("""COMPUTED_VALUE"""),"Action")</f>
        <v>Action</v>
      </c>
      <c r="G556" s="6">
        <f>IFERROR(__xludf.DUMMYFUNCTION("""COMPUTED_VALUE"""),142.0)</f>
        <v>142</v>
      </c>
      <c r="H556" s="6">
        <f>IFERROR(__xludf.DUMMYFUNCTION("""COMPUTED_VALUE"""),1.0)</f>
        <v>1</v>
      </c>
      <c r="I556" s="6" t="str">
        <f>IFERROR(__xludf.DUMMYFUNCTION("""COMPUTED_VALUE"""),"Smart Tv")</f>
        <v>Smart Tv</v>
      </c>
      <c r="J556" s="6" t="str">
        <f>IFERROR(__xludf.DUMMYFUNCTION("""COMPUTED_VALUE"""),"India")</f>
        <v>India</v>
      </c>
      <c r="K556" s="6" t="str">
        <f>IFERROR(__xludf.DUMMYFUNCTION("""COMPUTED_VALUE"""),"Standard")</f>
        <v>Standard</v>
      </c>
      <c r="L556" s="6">
        <f>IFERROR(__xludf.DUMMYFUNCTION("""COMPUTED_VALUE"""),0.0)</f>
        <v>0</v>
      </c>
      <c r="M556" s="6" t="str">
        <f>IFERROR(__xludf.DUMMYFUNCTION("""COMPUTED_VALUE"""),"2023-09")</f>
        <v>2023-09</v>
      </c>
    </row>
    <row r="557">
      <c r="A557" s="6" t="str">
        <f>IFERROR(__xludf.DUMMYFUNCTION("""COMPUTED_VALUE"""),"01bbb7e2-7f69-4d8f-a4b4-da1c3899c22a")</f>
        <v>01bbb7e2-7f69-4d8f-a4b4-da1c3899c22a</v>
      </c>
      <c r="B557" s="6" t="str">
        <f>IFERROR(__xludf.DUMMYFUNCTION("""COMPUTED_VALUE"""),"f1ecc29a-1f16-476d-bd21-22d2ba2728c5")</f>
        <v>f1ecc29a-1f16-476d-bd21-22d2ba2728c5</v>
      </c>
      <c r="C557" s="7">
        <f>IFERROR(__xludf.DUMMYFUNCTION("""COMPUTED_VALUE"""),45141.0)</f>
        <v>45141</v>
      </c>
      <c r="D557" s="8">
        <f>IFERROR(__xludf.DUMMYFUNCTION("""COMPUTED_VALUE"""),6.2256131E7)</f>
        <v>62256131</v>
      </c>
      <c r="E557" s="6" t="str">
        <f>IFERROR(__xludf.DUMMYFUNCTION("""COMPUTED_VALUE"""),"DOCUMENTARY")</f>
        <v>DOCUMENTARY</v>
      </c>
      <c r="F557" s="6" t="str">
        <f>IFERROR(__xludf.DUMMYFUNCTION("""COMPUTED_VALUE"""),"Drama")</f>
        <v>Drama</v>
      </c>
      <c r="G557" s="6">
        <f>IFERROR(__xludf.DUMMYFUNCTION("""COMPUTED_VALUE"""),108.0)</f>
        <v>108</v>
      </c>
      <c r="H557" s="6">
        <f>IFERROR(__xludf.DUMMYFUNCTION("""COMPUTED_VALUE"""),0.0)</f>
        <v>0</v>
      </c>
      <c r="I557" s="6" t="str">
        <f>IFERROR(__xludf.DUMMYFUNCTION("""COMPUTED_VALUE"""),"Desktop")</f>
        <v>Desktop</v>
      </c>
      <c r="J557" s="6" t="str">
        <f>IFERROR(__xludf.DUMMYFUNCTION("""COMPUTED_VALUE"""),"Uk")</f>
        <v>Uk</v>
      </c>
      <c r="K557" s="6" t="str">
        <f>IFERROR(__xludf.DUMMYFUNCTION("""COMPUTED_VALUE"""),"Premium")</f>
        <v>Premium</v>
      </c>
      <c r="L557" s="6">
        <f>IFERROR(__xludf.DUMMYFUNCTION("""COMPUTED_VALUE"""),0.0)</f>
        <v>0</v>
      </c>
      <c r="M557" s="6" t="str">
        <f>IFERROR(__xludf.DUMMYFUNCTION("""COMPUTED_VALUE"""),"2023-08")</f>
        <v>2023-08</v>
      </c>
    </row>
    <row r="558">
      <c r="A558" s="6" t="str">
        <f>IFERROR(__xludf.DUMMYFUNCTION("""COMPUTED_VALUE"""),"670fd490-c5bb-4959-80a2-f403fbb8e582")</f>
        <v>670fd490-c5bb-4959-80a2-f403fbb8e582</v>
      </c>
      <c r="B558" s="6" t="str">
        <f>IFERROR(__xludf.DUMMYFUNCTION("""COMPUTED_VALUE"""),"f1fed80d-21c2-4541-a28b-0c3dc66f1b7a")</f>
        <v>f1fed80d-21c2-4541-a28b-0c3dc66f1b7a</v>
      </c>
      <c r="C558" s="7">
        <f>IFERROR(__xludf.DUMMYFUNCTION("""COMPUTED_VALUE"""),45213.0)</f>
        <v>45213</v>
      </c>
      <c r="D558" s="8">
        <f>IFERROR(__xludf.DUMMYFUNCTION("""COMPUTED_VALUE"""),8.5033238E7)</f>
        <v>85033238</v>
      </c>
      <c r="E558" s="6" t="str">
        <f>IFERROR(__xludf.DUMMYFUNCTION("""COMPUTED_VALUE"""),"DOCUMENTARY")</f>
        <v>DOCUMENTARY</v>
      </c>
      <c r="F558" s="6" t="str">
        <f>IFERROR(__xludf.DUMMYFUNCTION("""COMPUTED_VALUE"""),"Thriller")</f>
        <v>Thriller</v>
      </c>
      <c r="G558" s="6">
        <f>IFERROR(__xludf.DUMMYFUNCTION("""COMPUTED_VALUE"""),160.0)</f>
        <v>160</v>
      </c>
      <c r="H558" s="6">
        <f>IFERROR(__xludf.DUMMYFUNCTION("""COMPUTED_VALUE"""),1.0)</f>
        <v>1</v>
      </c>
      <c r="I558" s="6" t="str">
        <f>IFERROR(__xludf.DUMMYFUNCTION("""COMPUTED_VALUE"""),"Desktop")</f>
        <v>Desktop</v>
      </c>
      <c r="J558" s="6" t="str">
        <f>IFERROR(__xludf.DUMMYFUNCTION("""COMPUTED_VALUE"""),"Uk")</f>
        <v>Uk</v>
      </c>
      <c r="K558" s="6" t="str">
        <f>IFERROR(__xludf.DUMMYFUNCTION("""COMPUTED_VALUE"""),"Basic")</f>
        <v>Basic</v>
      </c>
      <c r="L558" s="6">
        <f>IFERROR(__xludf.DUMMYFUNCTION("""COMPUTED_VALUE"""),0.0)</f>
        <v>0</v>
      </c>
      <c r="M558" s="6" t="str">
        <f>IFERROR(__xludf.DUMMYFUNCTION("""COMPUTED_VALUE"""),"2023-10")</f>
        <v>2023-10</v>
      </c>
    </row>
    <row r="559">
      <c r="A559" s="6" t="str">
        <f>IFERROR(__xludf.DUMMYFUNCTION("""COMPUTED_VALUE"""),"f29b76e9-3658-4684-bbfc-4e14861530f2")</f>
        <v>f29b76e9-3658-4684-bbfc-4e14861530f2</v>
      </c>
      <c r="B559" s="6" t="str">
        <f>IFERROR(__xludf.DUMMYFUNCTION("""COMPUTED_VALUE"""),"f222c949-3430-4ab4-86d6-17d1c49633b7")</f>
        <v>f222c949-3430-4ab4-86d6-17d1c49633b7</v>
      </c>
      <c r="C559" s="7">
        <f>IFERROR(__xludf.DUMMYFUNCTION("""COMPUTED_VALUE"""),45286.0)</f>
        <v>45286</v>
      </c>
      <c r="D559" s="8">
        <f>IFERROR(__xludf.DUMMYFUNCTION("""COMPUTED_VALUE"""),6.2040716E7)</f>
        <v>62040716</v>
      </c>
      <c r="E559" s="6" t="str">
        <f>IFERROR(__xludf.DUMMYFUNCTION("""COMPUTED_VALUE"""),"MOVIE")</f>
        <v>MOVIE</v>
      </c>
      <c r="F559" s="6" t="str">
        <f>IFERROR(__xludf.DUMMYFUNCTION("""COMPUTED_VALUE"""),"Drama")</f>
        <v>Drama</v>
      </c>
      <c r="G559" s="6">
        <f>IFERROR(__xludf.DUMMYFUNCTION("""COMPUTED_VALUE"""),83.0)</f>
        <v>83</v>
      </c>
      <c r="H559" s="6">
        <f>IFERROR(__xludf.DUMMYFUNCTION("""COMPUTED_VALUE"""),1.0)</f>
        <v>1</v>
      </c>
      <c r="I559" s="6" t="str">
        <f>IFERROR(__xludf.DUMMYFUNCTION("""COMPUTED_VALUE"""),"Desktop")</f>
        <v>Desktop</v>
      </c>
      <c r="J559" s="6" t="str">
        <f>IFERROR(__xludf.DUMMYFUNCTION("""COMPUTED_VALUE"""),"Usa")</f>
        <v>Usa</v>
      </c>
      <c r="K559" s="6" t="str">
        <f>IFERROR(__xludf.DUMMYFUNCTION("""COMPUTED_VALUE"""),"Premium")</f>
        <v>Premium</v>
      </c>
      <c r="L559" s="6">
        <f>IFERROR(__xludf.DUMMYFUNCTION("""COMPUTED_VALUE"""),0.0)</f>
        <v>0</v>
      </c>
      <c r="M559" s="6" t="str">
        <f>IFERROR(__xludf.DUMMYFUNCTION("""COMPUTED_VALUE"""),"2023-12")</f>
        <v>2023-12</v>
      </c>
    </row>
    <row r="560">
      <c r="A560" s="6" t="str">
        <f>IFERROR(__xludf.DUMMYFUNCTION("""COMPUTED_VALUE"""),"b852b133-b2e4-44ec-b7e3-9094af23e437")</f>
        <v>b852b133-b2e4-44ec-b7e3-9094af23e437</v>
      </c>
      <c r="B560" s="6" t="str">
        <f>IFERROR(__xludf.DUMMYFUNCTION("""COMPUTED_VALUE"""),"f23250cb-29f1-44f5-9a2b-b6ae2cc4e3ae")</f>
        <v>f23250cb-29f1-44f5-9a2b-b6ae2cc4e3ae</v>
      </c>
      <c r="C560" s="7">
        <f>IFERROR(__xludf.DUMMYFUNCTION("""COMPUTED_VALUE"""),44956.0)</f>
        <v>44956</v>
      </c>
      <c r="D560" s="8">
        <f>IFERROR(__xludf.DUMMYFUNCTION("""COMPUTED_VALUE"""),9.2840751E7)</f>
        <v>92840751</v>
      </c>
      <c r="E560" s="6" t="str">
        <f>IFERROR(__xludf.DUMMYFUNCTION("""COMPUTED_VALUE"""),"DOCUMENTARY")</f>
        <v>DOCUMENTARY</v>
      </c>
      <c r="F560" s="6" t="str">
        <f>IFERROR(__xludf.DUMMYFUNCTION("""COMPUTED_VALUE"""),"Drama")</f>
        <v>Drama</v>
      </c>
      <c r="G560" s="6">
        <f>IFERROR(__xludf.DUMMYFUNCTION("""COMPUTED_VALUE"""),57.0)</f>
        <v>57</v>
      </c>
      <c r="H560" s="6">
        <f>IFERROR(__xludf.DUMMYFUNCTION("""COMPUTED_VALUE"""),1.0)</f>
        <v>1</v>
      </c>
      <c r="I560" s="6" t="str">
        <f>IFERROR(__xludf.DUMMYFUNCTION("""COMPUTED_VALUE"""),"Tablet")</f>
        <v>Tablet</v>
      </c>
      <c r="J560" s="6" t="str">
        <f>IFERROR(__xludf.DUMMYFUNCTION("""COMPUTED_VALUE"""),"Germany")</f>
        <v>Germany</v>
      </c>
      <c r="K560" s="6" t="str">
        <f>IFERROR(__xludf.DUMMYFUNCTION("""COMPUTED_VALUE"""),"Standard")</f>
        <v>Standard</v>
      </c>
      <c r="L560" s="6">
        <f>IFERROR(__xludf.DUMMYFUNCTION("""COMPUTED_VALUE"""),0.0)</f>
        <v>0</v>
      </c>
      <c r="M560" s="6" t="str">
        <f>IFERROR(__xludf.DUMMYFUNCTION("""COMPUTED_VALUE"""),"2023-01")</f>
        <v>2023-01</v>
      </c>
    </row>
    <row r="561">
      <c r="A561" s="6" t="str">
        <f>IFERROR(__xludf.DUMMYFUNCTION("""COMPUTED_VALUE"""),"5073fc2b-c647-4e3c-8e19-967b8102ce40")</f>
        <v>5073fc2b-c647-4e3c-8e19-967b8102ce40</v>
      </c>
      <c r="B561" s="6" t="str">
        <f>IFERROR(__xludf.DUMMYFUNCTION("""COMPUTED_VALUE"""),"f2b93b20-1b05-4e23-be4b-7f1b8be59b06")</f>
        <v>f2b93b20-1b05-4e23-be4b-7f1b8be59b06</v>
      </c>
      <c r="C561" s="7">
        <f>IFERROR(__xludf.DUMMYFUNCTION("""COMPUTED_VALUE"""),45194.0)</f>
        <v>45194</v>
      </c>
      <c r="D561" s="8">
        <f>IFERROR(__xludf.DUMMYFUNCTION("""COMPUTED_VALUE"""),1.061118E7)</f>
        <v>10611180</v>
      </c>
      <c r="E561" s="6" t="str">
        <f>IFERROR(__xludf.DUMMYFUNCTION("""COMPUTED_VALUE"""),"DOCUMENTARY")</f>
        <v>DOCUMENTARY</v>
      </c>
      <c r="F561" s="6" t="str">
        <f>IFERROR(__xludf.DUMMYFUNCTION("""COMPUTED_VALUE"""),"Thriller")</f>
        <v>Thriller</v>
      </c>
      <c r="G561" s="6">
        <f>IFERROR(__xludf.DUMMYFUNCTION("""COMPUTED_VALUE"""),45.0)</f>
        <v>45</v>
      </c>
      <c r="H561" s="6">
        <f>IFERROR(__xludf.DUMMYFUNCTION("""COMPUTED_VALUE"""),1.0)</f>
        <v>1</v>
      </c>
      <c r="I561" s="6" t="str">
        <f>IFERROR(__xludf.DUMMYFUNCTION("""COMPUTED_VALUE"""),"Desktop")</f>
        <v>Desktop</v>
      </c>
      <c r="J561" s="6" t="str">
        <f>IFERROR(__xludf.DUMMYFUNCTION("""COMPUTED_VALUE"""),"France")</f>
        <v>France</v>
      </c>
      <c r="K561" s="6" t="str">
        <f>IFERROR(__xludf.DUMMYFUNCTION("""COMPUTED_VALUE"""),"Standard")</f>
        <v>Standard</v>
      </c>
      <c r="L561" s="6">
        <f>IFERROR(__xludf.DUMMYFUNCTION("""COMPUTED_VALUE"""),0.0)</f>
        <v>0</v>
      </c>
      <c r="M561" s="6" t="str">
        <f>IFERROR(__xludf.DUMMYFUNCTION("""COMPUTED_VALUE"""),"2023-09")</f>
        <v>2023-09</v>
      </c>
    </row>
    <row r="562">
      <c r="A562" s="6" t="str">
        <f>IFERROR(__xludf.DUMMYFUNCTION("""COMPUTED_VALUE"""),"c30b4d6d-9575-4095-938e-adb6e460a675")</f>
        <v>c30b4d6d-9575-4095-938e-adb6e460a675</v>
      </c>
      <c r="B562" s="6" t="str">
        <f>IFERROR(__xludf.DUMMYFUNCTION("""COMPUTED_VALUE"""),"f3b655d4-dbe4-4212-abbd-ea7970dd8ccf")</f>
        <v>f3b655d4-dbe4-4212-abbd-ea7970dd8ccf</v>
      </c>
      <c r="C562" s="7">
        <f>IFERROR(__xludf.DUMMYFUNCTION("""COMPUTED_VALUE"""),45251.0)</f>
        <v>45251</v>
      </c>
      <c r="D562" s="8">
        <f>IFERROR(__xludf.DUMMYFUNCTION("""COMPUTED_VALUE"""),3.9125194E7)</f>
        <v>39125194</v>
      </c>
      <c r="E562" s="6" t="str">
        <f>IFERROR(__xludf.DUMMYFUNCTION("""COMPUTED_VALUE"""),"SERIES")</f>
        <v>SERIES</v>
      </c>
      <c r="F562" s="6" t="str">
        <f>IFERROR(__xludf.DUMMYFUNCTION("""COMPUTED_VALUE"""),"Thriller")</f>
        <v>Thriller</v>
      </c>
      <c r="G562" s="6">
        <f>IFERROR(__xludf.DUMMYFUNCTION("""COMPUTED_VALUE"""),78.0)</f>
        <v>78</v>
      </c>
      <c r="H562" s="6">
        <f>IFERROR(__xludf.DUMMYFUNCTION("""COMPUTED_VALUE"""),1.0)</f>
        <v>1</v>
      </c>
      <c r="I562" s="6" t="str">
        <f>IFERROR(__xludf.DUMMYFUNCTION("""COMPUTED_VALUE"""),"Desktop")</f>
        <v>Desktop</v>
      </c>
      <c r="J562" s="6" t="str">
        <f>IFERROR(__xludf.DUMMYFUNCTION("""COMPUTED_VALUE"""),"Usa")</f>
        <v>Usa</v>
      </c>
      <c r="K562" s="6" t="str">
        <f>IFERROR(__xludf.DUMMYFUNCTION("""COMPUTED_VALUE"""),"Premium")</f>
        <v>Premium</v>
      </c>
      <c r="L562" s="6">
        <f>IFERROR(__xludf.DUMMYFUNCTION("""COMPUTED_VALUE"""),0.0)</f>
        <v>0</v>
      </c>
      <c r="M562" s="6" t="str">
        <f>IFERROR(__xludf.DUMMYFUNCTION("""COMPUTED_VALUE"""),"2023-11")</f>
        <v>2023-11</v>
      </c>
    </row>
    <row r="563">
      <c r="A563" s="6" t="str">
        <f>IFERROR(__xludf.DUMMYFUNCTION("""COMPUTED_VALUE"""),"a406b471-835c-455e-a785-04c804f1f5d1")</f>
        <v>a406b471-835c-455e-a785-04c804f1f5d1</v>
      </c>
      <c r="B563" s="6" t="str">
        <f>IFERROR(__xludf.DUMMYFUNCTION("""COMPUTED_VALUE"""),"f3d849ba-47d8-4f8e-bf1b-289b7c0cf524")</f>
        <v>f3d849ba-47d8-4f8e-bf1b-289b7c0cf524</v>
      </c>
      <c r="C563" s="7">
        <f>IFERROR(__xludf.DUMMYFUNCTION("""COMPUTED_VALUE"""),44934.0)</f>
        <v>44934</v>
      </c>
      <c r="D563" s="8">
        <f>IFERROR(__xludf.DUMMYFUNCTION("""COMPUTED_VALUE"""),3.7225872E7)</f>
        <v>37225872</v>
      </c>
      <c r="E563" s="6" t="str">
        <f>IFERROR(__xludf.DUMMYFUNCTION("""COMPUTED_VALUE"""),"MOVIE")</f>
        <v>MOVIE</v>
      </c>
      <c r="F563" s="6" t="str">
        <f>IFERROR(__xludf.DUMMYFUNCTION("""COMPUTED_VALUE"""),"Drama")</f>
        <v>Drama</v>
      </c>
      <c r="G563" s="6">
        <f>IFERROR(__xludf.DUMMYFUNCTION("""COMPUTED_VALUE"""),75.0)</f>
        <v>75</v>
      </c>
      <c r="H563" s="6">
        <f>IFERROR(__xludf.DUMMYFUNCTION("""COMPUTED_VALUE"""),1.0)</f>
        <v>1</v>
      </c>
      <c r="I563" s="6" t="str">
        <f>IFERROR(__xludf.DUMMYFUNCTION("""COMPUTED_VALUE"""),"Desktop")</f>
        <v>Desktop</v>
      </c>
      <c r="J563" s="6" t="str">
        <f>IFERROR(__xludf.DUMMYFUNCTION("""COMPUTED_VALUE"""),"India")</f>
        <v>India</v>
      </c>
      <c r="K563" s="6" t="str">
        <f>IFERROR(__xludf.DUMMYFUNCTION("""COMPUTED_VALUE"""),"Basic")</f>
        <v>Basic</v>
      </c>
      <c r="L563" s="6">
        <f>IFERROR(__xludf.DUMMYFUNCTION("""COMPUTED_VALUE"""),0.0)</f>
        <v>0</v>
      </c>
      <c r="M563" s="6" t="str">
        <f>IFERROR(__xludf.DUMMYFUNCTION("""COMPUTED_VALUE"""),"2023-01")</f>
        <v>2023-01</v>
      </c>
    </row>
    <row r="564">
      <c r="A564" s="6" t="str">
        <f>IFERROR(__xludf.DUMMYFUNCTION("""COMPUTED_VALUE"""),"ede334bf-5986-4017-9fed-740455de290d")</f>
        <v>ede334bf-5986-4017-9fed-740455de290d</v>
      </c>
      <c r="B564" s="6" t="str">
        <f>IFERROR(__xludf.DUMMYFUNCTION("""COMPUTED_VALUE"""),"f44970bb-4053-4330-93d4-c1556a19e0a0")</f>
        <v>f44970bb-4053-4330-93d4-c1556a19e0a0</v>
      </c>
      <c r="C564" s="7">
        <f>IFERROR(__xludf.DUMMYFUNCTION("""COMPUTED_VALUE"""),45212.0)</f>
        <v>45212</v>
      </c>
      <c r="D564" s="8">
        <f>IFERROR(__xludf.DUMMYFUNCTION("""COMPUTED_VALUE"""),4.2720331E7)</f>
        <v>42720331</v>
      </c>
      <c r="E564" s="6" t="str">
        <f>IFERROR(__xludf.DUMMYFUNCTION("""COMPUTED_VALUE"""),"DOCUMENTARY")</f>
        <v>DOCUMENTARY</v>
      </c>
      <c r="F564" s="6" t="str">
        <f>IFERROR(__xludf.DUMMYFUNCTION("""COMPUTED_VALUE"""),"Action")</f>
        <v>Action</v>
      </c>
      <c r="G564" s="6">
        <f>IFERROR(__xludf.DUMMYFUNCTION("""COMPUTED_VALUE"""),23.0)</f>
        <v>23</v>
      </c>
      <c r="H564" s="6">
        <f>IFERROR(__xludf.DUMMYFUNCTION("""COMPUTED_VALUE"""),1.0)</f>
        <v>1</v>
      </c>
      <c r="I564" s="6" t="str">
        <f>IFERROR(__xludf.DUMMYFUNCTION("""COMPUTED_VALUE"""),"Tablet")</f>
        <v>Tablet</v>
      </c>
      <c r="J564" s="6" t="str">
        <f>IFERROR(__xludf.DUMMYFUNCTION("""COMPUTED_VALUE"""),"India")</f>
        <v>India</v>
      </c>
      <c r="K564" s="6" t="str">
        <f>IFERROR(__xludf.DUMMYFUNCTION("""COMPUTED_VALUE"""),"Premium")</f>
        <v>Premium</v>
      </c>
      <c r="L564" s="6">
        <f>IFERROR(__xludf.DUMMYFUNCTION("""COMPUTED_VALUE"""),1.0)</f>
        <v>1</v>
      </c>
      <c r="M564" s="6" t="str">
        <f>IFERROR(__xludf.DUMMYFUNCTION("""COMPUTED_VALUE"""),"2023-10")</f>
        <v>2023-10</v>
      </c>
    </row>
    <row r="565">
      <c r="A565" s="6" t="str">
        <f>IFERROR(__xludf.DUMMYFUNCTION("""COMPUTED_VALUE"""),"aca228aa-eefc-44f5-9607-1c76813635b4")</f>
        <v>aca228aa-eefc-44f5-9607-1c76813635b4</v>
      </c>
      <c r="B565" s="6" t="str">
        <f>IFERROR(__xludf.DUMMYFUNCTION("""COMPUTED_VALUE"""),"f4bb2a5c-61cc-4889-82ee-d0829c7feb8b")</f>
        <v>f4bb2a5c-61cc-4889-82ee-d0829c7feb8b</v>
      </c>
      <c r="C565" s="7">
        <f>IFERROR(__xludf.DUMMYFUNCTION("""COMPUTED_VALUE"""),45245.0)</f>
        <v>45245</v>
      </c>
      <c r="D565" s="8">
        <f>IFERROR(__xludf.DUMMYFUNCTION("""COMPUTED_VALUE"""),4.4564216E7)</f>
        <v>44564216</v>
      </c>
      <c r="E565" s="6" t="str">
        <f>IFERROR(__xludf.DUMMYFUNCTION("""COMPUTED_VALUE"""),"DOCUMENTARY")</f>
        <v>DOCUMENTARY</v>
      </c>
      <c r="F565" s="6" t="str">
        <f>IFERROR(__xludf.DUMMYFUNCTION("""COMPUTED_VALUE"""),"Sci-Fi")</f>
        <v>Sci-Fi</v>
      </c>
      <c r="G565" s="6">
        <f>IFERROR(__xludf.DUMMYFUNCTION("""COMPUTED_VALUE"""),32.0)</f>
        <v>32</v>
      </c>
      <c r="H565" s="6">
        <f>IFERROR(__xludf.DUMMYFUNCTION("""COMPUTED_VALUE"""),1.0)</f>
        <v>1</v>
      </c>
      <c r="I565" s="6" t="str">
        <f>IFERROR(__xludf.DUMMYFUNCTION("""COMPUTED_VALUE"""),"Mobile")</f>
        <v>Mobile</v>
      </c>
      <c r="J565" s="6" t="str">
        <f>IFERROR(__xludf.DUMMYFUNCTION("""COMPUTED_VALUE"""),"Usa")</f>
        <v>Usa</v>
      </c>
      <c r="K565" s="6" t="str">
        <f>IFERROR(__xludf.DUMMYFUNCTION("""COMPUTED_VALUE"""),"Basic")</f>
        <v>Basic</v>
      </c>
      <c r="L565" s="6">
        <f>IFERROR(__xludf.DUMMYFUNCTION("""COMPUTED_VALUE"""),0.0)</f>
        <v>0</v>
      </c>
      <c r="M565" s="6" t="str">
        <f>IFERROR(__xludf.DUMMYFUNCTION("""COMPUTED_VALUE"""),"2023-11")</f>
        <v>2023-11</v>
      </c>
    </row>
    <row r="566">
      <c r="A566" s="6" t="str">
        <f>IFERROR(__xludf.DUMMYFUNCTION("""COMPUTED_VALUE"""),"a255337d-7ec9-4bc5-8067-34663c1e58c7")</f>
        <v>a255337d-7ec9-4bc5-8067-34663c1e58c7</v>
      </c>
      <c r="B566" s="6" t="str">
        <f>IFERROR(__xludf.DUMMYFUNCTION("""COMPUTED_VALUE"""),"f4c84997-16ea-4250-9252-9a19caba9aba")</f>
        <v>f4c84997-16ea-4250-9252-9a19caba9aba</v>
      </c>
      <c r="C566" s="7">
        <f>IFERROR(__xludf.DUMMYFUNCTION("""COMPUTED_VALUE"""),45082.0)</f>
        <v>45082</v>
      </c>
      <c r="D566" s="8">
        <f>IFERROR(__xludf.DUMMYFUNCTION("""COMPUTED_VALUE"""),7.2423684E7)</f>
        <v>72423684</v>
      </c>
      <c r="E566" s="6" t="str">
        <f>IFERROR(__xludf.DUMMYFUNCTION("""COMPUTED_VALUE"""),"SERIES")</f>
        <v>SERIES</v>
      </c>
      <c r="F566" s="6" t="str">
        <f>IFERROR(__xludf.DUMMYFUNCTION("""COMPUTED_VALUE"""),"Thriller")</f>
        <v>Thriller</v>
      </c>
      <c r="G566" s="6">
        <f>IFERROR(__xludf.DUMMYFUNCTION("""COMPUTED_VALUE"""),22.0)</f>
        <v>22</v>
      </c>
      <c r="H566" s="6">
        <f>IFERROR(__xludf.DUMMYFUNCTION("""COMPUTED_VALUE"""),1.0)</f>
        <v>1</v>
      </c>
      <c r="I566" s="6" t="str">
        <f>IFERROR(__xludf.DUMMYFUNCTION("""COMPUTED_VALUE"""),"Mobile")</f>
        <v>Mobile</v>
      </c>
      <c r="J566" s="6" t="str">
        <f>IFERROR(__xludf.DUMMYFUNCTION("""COMPUTED_VALUE"""),"Germany")</f>
        <v>Germany</v>
      </c>
      <c r="K566" s="6" t="str">
        <f>IFERROR(__xludf.DUMMYFUNCTION("""COMPUTED_VALUE"""),"Standard")</f>
        <v>Standard</v>
      </c>
      <c r="L566" s="6">
        <f>IFERROR(__xludf.DUMMYFUNCTION("""COMPUTED_VALUE"""),0.0)</f>
        <v>0</v>
      </c>
      <c r="M566" s="6" t="str">
        <f>IFERROR(__xludf.DUMMYFUNCTION("""COMPUTED_VALUE"""),"2023-06")</f>
        <v>2023-06</v>
      </c>
    </row>
    <row r="567">
      <c r="A567" s="6" t="str">
        <f>IFERROR(__xludf.DUMMYFUNCTION("""COMPUTED_VALUE"""),"1d458d56-9038-4a1a-9a87-a62315a3899d")</f>
        <v>1d458d56-9038-4a1a-9a87-a62315a3899d</v>
      </c>
      <c r="B567" s="6" t="str">
        <f>IFERROR(__xludf.DUMMYFUNCTION("""COMPUTED_VALUE"""),"f519abf1-f9c1-4157-9a39-2adbc37ae89e")</f>
        <v>f519abf1-f9c1-4157-9a39-2adbc37ae89e</v>
      </c>
      <c r="C567" s="7">
        <f>IFERROR(__xludf.DUMMYFUNCTION("""COMPUTED_VALUE"""),45168.0)</f>
        <v>45168</v>
      </c>
      <c r="D567" s="8">
        <f>IFERROR(__xludf.DUMMYFUNCTION("""COMPUTED_VALUE"""),9.0997082E7)</f>
        <v>90997082</v>
      </c>
      <c r="E567" s="6" t="str">
        <f>IFERROR(__xludf.DUMMYFUNCTION("""COMPUTED_VALUE"""),"MOVIE")</f>
        <v>MOVIE</v>
      </c>
      <c r="F567" s="6" t="str">
        <f>IFERROR(__xludf.DUMMYFUNCTION("""COMPUTED_VALUE"""),"Comedy")</f>
        <v>Comedy</v>
      </c>
      <c r="G567" s="6">
        <f>IFERROR(__xludf.DUMMYFUNCTION("""COMPUTED_VALUE"""),33.0)</f>
        <v>33</v>
      </c>
      <c r="H567" s="6">
        <f>IFERROR(__xludf.DUMMYFUNCTION("""COMPUTED_VALUE"""),1.0)</f>
        <v>1</v>
      </c>
      <c r="I567" s="6" t="str">
        <f>IFERROR(__xludf.DUMMYFUNCTION("""COMPUTED_VALUE"""),"Desktop")</f>
        <v>Desktop</v>
      </c>
      <c r="J567" s="6" t="str">
        <f>IFERROR(__xludf.DUMMYFUNCTION("""COMPUTED_VALUE"""),"Germany")</f>
        <v>Germany</v>
      </c>
      <c r="K567" s="6" t="str">
        <f>IFERROR(__xludf.DUMMYFUNCTION("""COMPUTED_VALUE"""),"Standard")</f>
        <v>Standard</v>
      </c>
      <c r="L567" s="6">
        <f>IFERROR(__xludf.DUMMYFUNCTION("""COMPUTED_VALUE"""),0.0)</f>
        <v>0</v>
      </c>
      <c r="M567" s="6" t="str">
        <f>IFERROR(__xludf.DUMMYFUNCTION("""COMPUTED_VALUE"""),"2023-08")</f>
        <v>2023-08</v>
      </c>
    </row>
    <row r="568">
      <c r="A568" s="6" t="str">
        <f>IFERROR(__xludf.DUMMYFUNCTION("""COMPUTED_VALUE"""),"7838c85e-4ab0-4893-b45c-759a691fcf9a")</f>
        <v>7838c85e-4ab0-4893-b45c-759a691fcf9a</v>
      </c>
      <c r="B568" s="6" t="str">
        <f>IFERROR(__xludf.DUMMYFUNCTION("""COMPUTED_VALUE"""),"f5f9de36-764f-4d87-87dc-8e5a5611f84b")</f>
        <v>f5f9de36-764f-4d87-87dc-8e5a5611f84b</v>
      </c>
      <c r="C568" s="7">
        <f>IFERROR(__xludf.DUMMYFUNCTION("""COMPUTED_VALUE"""),45257.0)</f>
        <v>45257</v>
      </c>
      <c r="D568" s="8">
        <f>IFERROR(__xludf.DUMMYFUNCTION("""COMPUTED_VALUE"""),8.4215291E7)</f>
        <v>84215291</v>
      </c>
      <c r="E568" s="6" t="str">
        <f>IFERROR(__xludf.DUMMYFUNCTION("""COMPUTED_VALUE"""),"MOVIE")</f>
        <v>MOVIE</v>
      </c>
      <c r="F568" s="6" t="str">
        <f>IFERROR(__xludf.DUMMYFUNCTION("""COMPUTED_VALUE"""),"Action")</f>
        <v>Action</v>
      </c>
      <c r="G568" s="6">
        <f>IFERROR(__xludf.DUMMYFUNCTION("""COMPUTED_VALUE"""),104.0)</f>
        <v>104</v>
      </c>
      <c r="H568" s="6">
        <f>IFERROR(__xludf.DUMMYFUNCTION("""COMPUTED_VALUE"""),1.0)</f>
        <v>1</v>
      </c>
      <c r="I568" s="6" t="str">
        <f>IFERROR(__xludf.DUMMYFUNCTION("""COMPUTED_VALUE"""),"Tablet")</f>
        <v>Tablet</v>
      </c>
      <c r="J568" s="6" t="str">
        <f>IFERROR(__xludf.DUMMYFUNCTION("""COMPUTED_VALUE"""),"Germany")</f>
        <v>Germany</v>
      </c>
      <c r="K568" s="6" t="str">
        <f>IFERROR(__xludf.DUMMYFUNCTION("""COMPUTED_VALUE"""),"Basic")</f>
        <v>Basic</v>
      </c>
      <c r="L568" s="6">
        <f>IFERROR(__xludf.DUMMYFUNCTION("""COMPUTED_VALUE"""),0.0)</f>
        <v>0</v>
      </c>
      <c r="M568" s="6" t="str">
        <f>IFERROR(__xludf.DUMMYFUNCTION("""COMPUTED_VALUE"""),"2023-11")</f>
        <v>2023-11</v>
      </c>
    </row>
    <row r="569">
      <c r="A569" s="6" t="str">
        <f>IFERROR(__xludf.DUMMYFUNCTION("""COMPUTED_VALUE"""),"54e856df-478b-4e1c-9c5f-5b7a7ce7194b")</f>
        <v>54e856df-478b-4e1c-9c5f-5b7a7ce7194b</v>
      </c>
      <c r="B569" s="6" t="str">
        <f>IFERROR(__xludf.DUMMYFUNCTION("""COMPUTED_VALUE"""),"f61c4ded-e03a-44e2-9bc2-bcc704861b09")</f>
        <v>f61c4ded-e03a-44e2-9bc2-bcc704861b09</v>
      </c>
      <c r="C569" s="7">
        <f>IFERROR(__xludf.DUMMYFUNCTION("""COMPUTED_VALUE"""),44961.0)</f>
        <v>44961</v>
      </c>
      <c r="D569" s="8">
        <f>IFERROR(__xludf.DUMMYFUNCTION("""COMPUTED_VALUE"""),9.2834866E7)</f>
        <v>92834866</v>
      </c>
      <c r="E569" s="6" t="str">
        <f>IFERROR(__xludf.DUMMYFUNCTION("""COMPUTED_VALUE"""),"MOVIE")</f>
        <v>MOVIE</v>
      </c>
      <c r="F569" s="6" t="str">
        <f>IFERROR(__xludf.DUMMYFUNCTION("""COMPUTED_VALUE"""),"Drama")</f>
        <v>Drama</v>
      </c>
      <c r="G569" s="6">
        <f>IFERROR(__xludf.DUMMYFUNCTION("""COMPUTED_VALUE"""),102.0)</f>
        <v>102</v>
      </c>
      <c r="H569" s="6">
        <f>IFERROR(__xludf.DUMMYFUNCTION("""COMPUTED_VALUE"""),1.0)</f>
        <v>1</v>
      </c>
      <c r="I569" s="6" t="str">
        <f>IFERROR(__xludf.DUMMYFUNCTION("""COMPUTED_VALUE"""),"Mobile")</f>
        <v>Mobile</v>
      </c>
      <c r="J569" s="6" t="str">
        <f>IFERROR(__xludf.DUMMYFUNCTION("""COMPUTED_VALUE"""),"France")</f>
        <v>France</v>
      </c>
      <c r="K569" s="6" t="str">
        <f>IFERROR(__xludf.DUMMYFUNCTION("""COMPUTED_VALUE"""),"Standard")</f>
        <v>Standard</v>
      </c>
      <c r="L569" s="6">
        <f>IFERROR(__xludf.DUMMYFUNCTION("""COMPUTED_VALUE"""),0.0)</f>
        <v>0</v>
      </c>
      <c r="M569" s="6" t="str">
        <f>IFERROR(__xludf.DUMMYFUNCTION("""COMPUTED_VALUE"""),"2023-02")</f>
        <v>2023-02</v>
      </c>
    </row>
    <row r="570">
      <c r="A570" s="6" t="str">
        <f>IFERROR(__xludf.DUMMYFUNCTION("""COMPUTED_VALUE"""),"c200f3ad-8e47-4fee-b47c-daa5a2eff77c")</f>
        <v>c200f3ad-8e47-4fee-b47c-daa5a2eff77c</v>
      </c>
      <c r="B570" s="6" t="str">
        <f>IFERROR(__xludf.DUMMYFUNCTION("""COMPUTED_VALUE"""),"f62efe5e-8ae9-436d-b983-02309db2d306")</f>
        <v>f62efe5e-8ae9-436d-b983-02309db2d306</v>
      </c>
      <c r="C570" s="7">
        <f>IFERROR(__xludf.DUMMYFUNCTION("""COMPUTED_VALUE"""),45005.0)</f>
        <v>45005</v>
      </c>
      <c r="D570" s="8">
        <f>IFERROR(__xludf.DUMMYFUNCTION("""COMPUTED_VALUE"""),5.6516449E7)</f>
        <v>56516449</v>
      </c>
      <c r="E570" s="6" t="str">
        <f>IFERROR(__xludf.DUMMYFUNCTION("""COMPUTED_VALUE"""),"DOCUMENTARY")</f>
        <v>DOCUMENTARY</v>
      </c>
      <c r="F570" s="6" t="str">
        <f>IFERROR(__xludf.DUMMYFUNCTION("""COMPUTED_VALUE"""),"Thriller")</f>
        <v>Thriller</v>
      </c>
      <c r="G570" s="6">
        <f>IFERROR(__xludf.DUMMYFUNCTION("""COMPUTED_VALUE"""),103.0)</f>
        <v>103</v>
      </c>
      <c r="H570" s="6">
        <f>IFERROR(__xludf.DUMMYFUNCTION("""COMPUTED_VALUE"""),1.0)</f>
        <v>1</v>
      </c>
      <c r="I570" s="6" t="str">
        <f>IFERROR(__xludf.DUMMYFUNCTION("""COMPUTED_VALUE"""),"Tablet")</f>
        <v>Tablet</v>
      </c>
      <c r="J570" s="6" t="str">
        <f>IFERROR(__xludf.DUMMYFUNCTION("""COMPUTED_VALUE"""),"India")</f>
        <v>India</v>
      </c>
      <c r="K570" s="6" t="str">
        <f>IFERROR(__xludf.DUMMYFUNCTION("""COMPUTED_VALUE"""),"Standard")</f>
        <v>Standard</v>
      </c>
      <c r="L570" s="6">
        <f>IFERROR(__xludf.DUMMYFUNCTION("""COMPUTED_VALUE"""),0.0)</f>
        <v>0</v>
      </c>
      <c r="M570" s="6" t="str">
        <f>IFERROR(__xludf.DUMMYFUNCTION("""COMPUTED_VALUE"""),"2023-03")</f>
        <v>2023-03</v>
      </c>
    </row>
    <row r="571">
      <c r="A571" s="6" t="str">
        <f>IFERROR(__xludf.DUMMYFUNCTION("""COMPUTED_VALUE"""),"ab9d275a-d360-482d-9d5d-d3b309a76a9f")</f>
        <v>ab9d275a-d360-482d-9d5d-d3b309a76a9f</v>
      </c>
      <c r="B571" s="6" t="str">
        <f>IFERROR(__xludf.DUMMYFUNCTION("""COMPUTED_VALUE"""),"f63e28c8-206a-4793-ae43-23a6e77387f0")</f>
        <v>f63e28c8-206a-4793-ae43-23a6e77387f0</v>
      </c>
      <c r="C571" s="7">
        <f>IFERROR(__xludf.DUMMYFUNCTION("""COMPUTED_VALUE"""),45263.0)</f>
        <v>45263</v>
      </c>
      <c r="D571" s="8">
        <f>IFERROR(__xludf.DUMMYFUNCTION("""COMPUTED_VALUE"""),8.0508458E7)</f>
        <v>80508458</v>
      </c>
      <c r="E571" s="6" t="str">
        <f>IFERROR(__xludf.DUMMYFUNCTION("""COMPUTED_VALUE"""),"MOVIE")</f>
        <v>MOVIE</v>
      </c>
      <c r="F571" s="6" t="str">
        <f>IFERROR(__xludf.DUMMYFUNCTION("""COMPUTED_VALUE"""),"Drama")</f>
        <v>Drama</v>
      </c>
      <c r="G571" s="6">
        <f>IFERROR(__xludf.DUMMYFUNCTION("""COMPUTED_VALUE"""),42.0)</f>
        <v>42</v>
      </c>
      <c r="H571" s="6">
        <f>IFERROR(__xludf.DUMMYFUNCTION("""COMPUTED_VALUE"""),1.0)</f>
        <v>1</v>
      </c>
      <c r="I571" s="6" t="str">
        <f>IFERROR(__xludf.DUMMYFUNCTION("""COMPUTED_VALUE"""),"Smart Tv")</f>
        <v>Smart Tv</v>
      </c>
      <c r="J571" s="6" t="str">
        <f>IFERROR(__xludf.DUMMYFUNCTION("""COMPUTED_VALUE"""),"Usa")</f>
        <v>Usa</v>
      </c>
      <c r="K571" s="6" t="str">
        <f>IFERROR(__xludf.DUMMYFUNCTION("""COMPUTED_VALUE"""),"Basic")</f>
        <v>Basic</v>
      </c>
      <c r="L571" s="6">
        <f>IFERROR(__xludf.DUMMYFUNCTION("""COMPUTED_VALUE"""),0.0)</f>
        <v>0</v>
      </c>
      <c r="M571" s="6" t="str">
        <f>IFERROR(__xludf.DUMMYFUNCTION("""COMPUTED_VALUE"""),"2023-12")</f>
        <v>2023-12</v>
      </c>
    </row>
    <row r="572">
      <c r="A572" s="6" t="str">
        <f>IFERROR(__xludf.DUMMYFUNCTION("""COMPUTED_VALUE"""),"81d7f3df-a865-4712-8f02-870e87556cff")</f>
        <v>81d7f3df-a865-4712-8f02-870e87556cff</v>
      </c>
      <c r="B572" s="6" t="str">
        <f>IFERROR(__xludf.DUMMYFUNCTION("""COMPUTED_VALUE"""),"f6ba36cb-f2a2-4c9d-bb7b-c56e890bd8ac")</f>
        <v>f6ba36cb-f2a2-4c9d-bb7b-c56e890bd8ac</v>
      </c>
      <c r="C572" s="7">
        <f>IFERROR(__xludf.DUMMYFUNCTION("""COMPUTED_VALUE"""),45008.0)</f>
        <v>45008</v>
      </c>
      <c r="D572" s="8">
        <f>IFERROR(__xludf.DUMMYFUNCTION("""COMPUTED_VALUE"""),5.0573738E7)</f>
        <v>50573738</v>
      </c>
      <c r="E572" s="6" t="str">
        <f>IFERROR(__xludf.DUMMYFUNCTION("""COMPUTED_VALUE"""),"DOCUMENTARY")</f>
        <v>DOCUMENTARY</v>
      </c>
      <c r="F572" s="6" t="str">
        <f>IFERROR(__xludf.DUMMYFUNCTION("""COMPUTED_VALUE"""),"Thriller")</f>
        <v>Thriller</v>
      </c>
      <c r="G572" s="6">
        <f>IFERROR(__xludf.DUMMYFUNCTION("""COMPUTED_VALUE"""),5.0)</f>
        <v>5</v>
      </c>
      <c r="H572" s="6">
        <f>IFERROR(__xludf.DUMMYFUNCTION("""COMPUTED_VALUE"""),1.0)</f>
        <v>1</v>
      </c>
      <c r="I572" s="6" t="str">
        <f>IFERROR(__xludf.DUMMYFUNCTION("""COMPUTED_VALUE"""),"Desktop")</f>
        <v>Desktop</v>
      </c>
      <c r="J572" s="6" t="str">
        <f>IFERROR(__xludf.DUMMYFUNCTION("""COMPUTED_VALUE"""),"India")</f>
        <v>India</v>
      </c>
      <c r="K572" s="6" t="str">
        <f>IFERROR(__xludf.DUMMYFUNCTION("""COMPUTED_VALUE"""),"Standard")</f>
        <v>Standard</v>
      </c>
      <c r="L572" s="6">
        <f>IFERROR(__xludf.DUMMYFUNCTION("""COMPUTED_VALUE"""),0.0)</f>
        <v>0</v>
      </c>
      <c r="M572" s="6" t="str">
        <f>IFERROR(__xludf.DUMMYFUNCTION("""COMPUTED_VALUE"""),"2023-03")</f>
        <v>2023-03</v>
      </c>
    </row>
    <row r="573">
      <c r="A573" s="6" t="str">
        <f>IFERROR(__xludf.DUMMYFUNCTION("""COMPUTED_VALUE"""),"bf58abbd-3145-4f8d-94f7-1c879dca9181")</f>
        <v>bf58abbd-3145-4f8d-94f7-1c879dca9181</v>
      </c>
      <c r="B573" s="6" t="str">
        <f>IFERROR(__xludf.DUMMYFUNCTION("""COMPUTED_VALUE"""),"f747cad3-cd06-4b7f-9af4-17eb699b1047")</f>
        <v>f747cad3-cd06-4b7f-9af4-17eb699b1047</v>
      </c>
      <c r="C573" s="7">
        <f>IFERROR(__xludf.DUMMYFUNCTION("""COMPUTED_VALUE"""),44941.0)</f>
        <v>44941</v>
      </c>
      <c r="D573" s="8">
        <f>IFERROR(__xludf.DUMMYFUNCTION("""COMPUTED_VALUE"""),6.6922391E7)</f>
        <v>66922391</v>
      </c>
      <c r="E573" s="6" t="str">
        <f>IFERROR(__xludf.DUMMYFUNCTION("""COMPUTED_VALUE"""),"SERIES")</f>
        <v>SERIES</v>
      </c>
      <c r="F573" s="6" t="str">
        <f>IFERROR(__xludf.DUMMYFUNCTION("""COMPUTED_VALUE"""),"Comedy")</f>
        <v>Comedy</v>
      </c>
      <c r="G573" s="6">
        <f>IFERROR(__xludf.DUMMYFUNCTION("""COMPUTED_VALUE"""),45.0)</f>
        <v>45</v>
      </c>
      <c r="H573" s="6">
        <f>IFERROR(__xludf.DUMMYFUNCTION("""COMPUTED_VALUE"""),1.0)</f>
        <v>1</v>
      </c>
      <c r="I573" s="6" t="str">
        <f>IFERROR(__xludf.DUMMYFUNCTION("""COMPUTED_VALUE"""),"Desktop")</f>
        <v>Desktop</v>
      </c>
      <c r="J573" s="6" t="str">
        <f>IFERROR(__xludf.DUMMYFUNCTION("""COMPUTED_VALUE"""),"Germany")</f>
        <v>Germany</v>
      </c>
      <c r="K573" s="6" t="str">
        <f>IFERROR(__xludf.DUMMYFUNCTION("""COMPUTED_VALUE"""),"Premium")</f>
        <v>Premium</v>
      </c>
      <c r="L573" s="6">
        <f>IFERROR(__xludf.DUMMYFUNCTION("""COMPUTED_VALUE"""),0.0)</f>
        <v>0</v>
      </c>
      <c r="M573" s="6" t="str">
        <f>IFERROR(__xludf.DUMMYFUNCTION("""COMPUTED_VALUE"""),"2023-01")</f>
        <v>2023-01</v>
      </c>
    </row>
    <row r="574">
      <c r="A574" s="6" t="str">
        <f>IFERROR(__xludf.DUMMYFUNCTION("""COMPUTED_VALUE"""),"1ba61672-1517-4ac2-baf0-c1ee2d2fa617")</f>
        <v>1ba61672-1517-4ac2-baf0-c1ee2d2fa617</v>
      </c>
      <c r="B574" s="6" t="str">
        <f>IFERROR(__xludf.DUMMYFUNCTION("""COMPUTED_VALUE"""),"f76b5e22-f44c-4dbc-b136-6ef01afe0e9c")</f>
        <v>f76b5e22-f44c-4dbc-b136-6ef01afe0e9c</v>
      </c>
      <c r="C574" s="7">
        <f>IFERROR(__xludf.DUMMYFUNCTION("""COMPUTED_VALUE"""),44934.0)</f>
        <v>44934</v>
      </c>
      <c r="D574" s="8">
        <f>IFERROR(__xludf.DUMMYFUNCTION("""COMPUTED_VALUE"""),7.4701216E7)</f>
        <v>74701216</v>
      </c>
      <c r="E574" s="6" t="str">
        <f>IFERROR(__xludf.DUMMYFUNCTION("""COMPUTED_VALUE"""),"MOVIE")</f>
        <v>MOVIE</v>
      </c>
      <c r="F574" s="6" t="str">
        <f>IFERROR(__xludf.DUMMYFUNCTION("""COMPUTED_VALUE"""),"Comedy")</f>
        <v>Comedy</v>
      </c>
      <c r="G574" s="6">
        <f>IFERROR(__xludf.DUMMYFUNCTION("""COMPUTED_VALUE"""),81.0)</f>
        <v>81</v>
      </c>
      <c r="H574" s="6">
        <f>IFERROR(__xludf.DUMMYFUNCTION("""COMPUTED_VALUE"""),1.0)</f>
        <v>1</v>
      </c>
      <c r="I574" s="6" t="str">
        <f>IFERROR(__xludf.DUMMYFUNCTION("""COMPUTED_VALUE"""),"Mobile")</f>
        <v>Mobile</v>
      </c>
      <c r="J574" s="6" t="str">
        <f>IFERROR(__xludf.DUMMYFUNCTION("""COMPUTED_VALUE"""),"Germany")</f>
        <v>Germany</v>
      </c>
      <c r="K574" s="6" t="str">
        <f>IFERROR(__xludf.DUMMYFUNCTION("""COMPUTED_VALUE"""),"Standard")</f>
        <v>Standard</v>
      </c>
      <c r="L574" s="6">
        <f>IFERROR(__xludf.DUMMYFUNCTION("""COMPUTED_VALUE"""),0.0)</f>
        <v>0</v>
      </c>
      <c r="M574" s="6" t="str">
        <f>IFERROR(__xludf.DUMMYFUNCTION("""COMPUTED_VALUE"""),"2023-01")</f>
        <v>2023-01</v>
      </c>
    </row>
    <row r="575">
      <c r="A575" s="6" t="str">
        <f>IFERROR(__xludf.DUMMYFUNCTION("""COMPUTED_VALUE"""),"07dc5d2e-767d-4080-b4d5-298032ac9612")</f>
        <v>07dc5d2e-767d-4080-b4d5-298032ac9612</v>
      </c>
      <c r="B575" s="6" t="str">
        <f>IFERROR(__xludf.DUMMYFUNCTION("""COMPUTED_VALUE"""),"f7a5e90a-cc59-422d-9a1a-c1e7c5126c80")</f>
        <v>f7a5e90a-cc59-422d-9a1a-c1e7c5126c80</v>
      </c>
      <c r="C575" s="7">
        <f>IFERROR(__xludf.DUMMYFUNCTION("""COMPUTED_VALUE"""),45002.0)</f>
        <v>45002</v>
      </c>
      <c r="D575" s="8">
        <f>IFERROR(__xludf.DUMMYFUNCTION("""COMPUTED_VALUE"""),7.097951E7)</f>
        <v>70979510</v>
      </c>
      <c r="E575" s="6" t="str">
        <f>IFERROR(__xludf.DUMMYFUNCTION("""COMPUTED_VALUE"""),"MOVIE")</f>
        <v>MOVIE</v>
      </c>
      <c r="F575" s="6" t="str">
        <f>IFERROR(__xludf.DUMMYFUNCTION("""COMPUTED_VALUE"""),"Sci-Fi")</f>
        <v>Sci-Fi</v>
      </c>
      <c r="G575" s="6">
        <f>IFERROR(__xludf.DUMMYFUNCTION("""COMPUTED_VALUE"""),167.0)</f>
        <v>167</v>
      </c>
      <c r="H575" s="6">
        <f>IFERROR(__xludf.DUMMYFUNCTION("""COMPUTED_VALUE"""),1.0)</f>
        <v>1</v>
      </c>
      <c r="I575" s="6" t="str">
        <f>IFERROR(__xludf.DUMMYFUNCTION("""COMPUTED_VALUE"""),"Smart Tv")</f>
        <v>Smart Tv</v>
      </c>
      <c r="J575" s="6" t="str">
        <f>IFERROR(__xludf.DUMMYFUNCTION("""COMPUTED_VALUE"""),"Usa")</f>
        <v>Usa</v>
      </c>
      <c r="K575" s="6" t="str">
        <f>IFERROR(__xludf.DUMMYFUNCTION("""COMPUTED_VALUE"""),"Premium")</f>
        <v>Premium</v>
      </c>
      <c r="L575" s="6">
        <f>IFERROR(__xludf.DUMMYFUNCTION("""COMPUTED_VALUE"""),0.0)</f>
        <v>0</v>
      </c>
      <c r="M575" s="6" t="str">
        <f>IFERROR(__xludf.DUMMYFUNCTION("""COMPUTED_VALUE"""),"2023-03")</f>
        <v>2023-03</v>
      </c>
    </row>
    <row r="576">
      <c r="A576" s="6" t="str">
        <f>IFERROR(__xludf.DUMMYFUNCTION("""COMPUTED_VALUE"""),"ba7f4161-596a-4ac5-b4ea-597f9e4f6dc8")</f>
        <v>ba7f4161-596a-4ac5-b4ea-597f9e4f6dc8</v>
      </c>
      <c r="B576" s="6" t="str">
        <f>IFERROR(__xludf.DUMMYFUNCTION("""COMPUTED_VALUE"""),"f848c24c-9f10-49df-9804-8d6681cdea01")</f>
        <v>f848c24c-9f10-49df-9804-8d6681cdea01</v>
      </c>
      <c r="C576" s="7">
        <f>IFERROR(__xludf.DUMMYFUNCTION("""COMPUTED_VALUE"""),45255.0)</f>
        <v>45255</v>
      </c>
      <c r="D576" s="8">
        <f>IFERROR(__xludf.DUMMYFUNCTION("""COMPUTED_VALUE"""),8.9553404E7)</f>
        <v>89553404</v>
      </c>
      <c r="E576" s="6" t="str">
        <f>IFERROR(__xludf.DUMMYFUNCTION("""COMPUTED_VALUE"""),"DOCUMENTARY")</f>
        <v>DOCUMENTARY</v>
      </c>
      <c r="F576" s="6" t="str">
        <f>IFERROR(__xludf.DUMMYFUNCTION("""COMPUTED_VALUE"""),"Sci-Fi")</f>
        <v>Sci-Fi</v>
      </c>
      <c r="G576" s="6">
        <f>IFERROR(__xludf.DUMMYFUNCTION("""COMPUTED_VALUE"""),164.0)</f>
        <v>164</v>
      </c>
      <c r="H576" s="6">
        <f>IFERROR(__xludf.DUMMYFUNCTION("""COMPUTED_VALUE"""),1.0)</f>
        <v>1</v>
      </c>
      <c r="I576" s="6" t="str">
        <f>IFERROR(__xludf.DUMMYFUNCTION("""COMPUTED_VALUE"""),"Tablet")</f>
        <v>Tablet</v>
      </c>
      <c r="J576" s="6" t="str">
        <f>IFERROR(__xludf.DUMMYFUNCTION("""COMPUTED_VALUE"""),"Usa")</f>
        <v>Usa</v>
      </c>
      <c r="K576" s="6" t="str">
        <f>IFERROR(__xludf.DUMMYFUNCTION("""COMPUTED_VALUE"""),"Premium")</f>
        <v>Premium</v>
      </c>
      <c r="L576" s="6">
        <f>IFERROR(__xludf.DUMMYFUNCTION("""COMPUTED_VALUE"""),0.0)</f>
        <v>0</v>
      </c>
      <c r="M576" s="6" t="str">
        <f>IFERROR(__xludf.DUMMYFUNCTION("""COMPUTED_VALUE"""),"2023-11")</f>
        <v>2023-11</v>
      </c>
    </row>
    <row r="577">
      <c r="A577" s="6" t="str">
        <f>IFERROR(__xludf.DUMMYFUNCTION("""COMPUTED_VALUE"""),"5ac07fc5-9398-4ed8-86f1-87c218059deb")</f>
        <v>5ac07fc5-9398-4ed8-86f1-87c218059deb</v>
      </c>
      <c r="B577" s="6" t="str">
        <f>IFERROR(__xludf.DUMMYFUNCTION("""COMPUTED_VALUE"""),"f8a62a4d-cc63-4e30-870b-28e78adbefc1")</f>
        <v>f8a62a4d-cc63-4e30-870b-28e78adbefc1</v>
      </c>
      <c r="C577" s="7">
        <f>IFERROR(__xludf.DUMMYFUNCTION("""COMPUTED_VALUE"""),45069.0)</f>
        <v>45069</v>
      </c>
      <c r="D577" s="8">
        <f>IFERROR(__xludf.DUMMYFUNCTION("""COMPUTED_VALUE"""),2.5987942E7)</f>
        <v>25987942</v>
      </c>
      <c r="E577" s="6" t="str">
        <f>IFERROR(__xludf.DUMMYFUNCTION("""COMPUTED_VALUE"""),"MOVIE")</f>
        <v>MOVIE</v>
      </c>
      <c r="F577" s="6" t="str">
        <f>IFERROR(__xludf.DUMMYFUNCTION("""COMPUTED_VALUE"""),"Sci-Fi")</f>
        <v>Sci-Fi</v>
      </c>
      <c r="G577" s="6">
        <f>IFERROR(__xludf.DUMMYFUNCTION("""COMPUTED_VALUE"""),154.0)</f>
        <v>154</v>
      </c>
      <c r="H577" s="6">
        <f>IFERROR(__xludf.DUMMYFUNCTION("""COMPUTED_VALUE"""),0.0)</f>
        <v>0</v>
      </c>
      <c r="I577" s="6" t="str">
        <f>IFERROR(__xludf.DUMMYFUNCTION("""COMPUTED_VALUE"""),"Smart Tv")</f>
        <v>Smart Tv</v>
      </c>
      <c r="J577" s="6" t="str">
        <f>IFERROR(__xludf.DUMMYFUNCTION("""COMPUTED_VALUE"""),"Usa")</f>
        <v>Usa</v>
      </c>
      <c r="K577" s="6" t="str">
        <f>IFERROR(__xludf.DUMMYFUNCTION("""COMPUTED_VALUE"""),"Premium")</f>
        <v>Premium</v>
      </c>
      <c r="L577" s="6">
        <f>IFERROR(__xludf.DUMMYFUNCTION("""COMPUTED_VALUE"""),0.0)</f>
        <v>0</v>
      </c>
      <c r="M577" s="6" t="str">
        <f>IFERROR(__xludf.DUMMYFUNCTION("""COMPUTED_VALUE"""),"2023-05")</f>
        <v>2023-05</v>
      </c>
    </row>
    <row r="578">
      <c r="A578" s="6" t="str">
        <f>IFERROR(__xludf.DUMMYFUNCTION("""COMPUTED_VALUE"""),"9502e8d0-9fba-4ebe-bab2-d2bec8fdb279")</f>
        <v>9502e8d0-9fba-4ebe-bab2-d2bec8fdb279</v>
      </c>
      <c r="B578" s="6" t="str">
        <f>IFERROR(__xludf.DUMMYFUNCTION("""COMPUTED_VALUE"""),"f8e87436-8e99-4242-9a05-afd319869b85")</f>
        <v>f8e87436-8e99-4242-9a05-afd319869b85</v>
      </c>
      <c r="C578" s="7">
        <f>IFERROR(__xludf.DUMMYFUNCTION("""COMPUTED_VALUE"""),45188.0)</f>
        <v>45188</v>
      </c>
      <c r="D578" s="8">
        <f>IFERROR(__xludf.DUMMYFUNCTION("""COMPUTED_VALUE"""),2598284.0)</f>
        <v>2598284</v>
      </c>
      <c r="E578" s="6" t="str">
        <f>IFERROR(__xludf.DUMMYFUNCTION("""COMPUTED_VALUE"""),"MOVIE")</f>
        <v>MOVIE</v>
      </c>
      <c r="F578" s="6" t="str">
        <f>IFERROR(__xludf.DUMMYFUNCTION("""COMPUTED_VALUE"""),"Thriller")</f>
        <v>Thriller</v>
      </c>
      <c r="G578" s="6">
        <f>IFERROR(__xludf.DUMMYFUNCTION("""COMPUTED_VALUE"""),112.0)</f>
        <v>112</v>
      </c>
      <c r="H578" s="6">
        <f>IFERROR(__xludf.DUMMYFUNCTION("""COMPUTED_VALUE"""),1.0)</f>
        <v>1</v>
      </c>
      <c r="I578" s="6" t="str">
        <f>IFERROR(__xludf.DUMMYFUNCTION("""COMPUTED_VALUE"""),"Tablet")</f>
        <v>Tablet</v>
      </c>
      <c r="J578" s="6" t="str">
        <f>IFERROR(__xludf.DUMMYFUNCTION("""COMPUTED_VALUE"""),"Uk")</f>
        <v>Uk</v>
      </c>
      <c r="K578" s="6" t="str">
        <f>IFERROR(__xludf.DUMMYFUNCTION("""COMPUTED_VALUE"""),"Premium")</f>
        <v>Premium</v>
      </c>
      <c r="L578" s="6">
        <f>IFERROR(__xludf.DUMMYFUNCTION("""COMPUTED_VALUE"""),0.0)</f>
        <v>0</v>
      </c>
      <c r="M578" s="6" t="str">
        <f>IFERROR(__xludf.DUMMYFUNCTION("""COMPUTED_VALUE"""),"2023-09")</f>
        <v>2023-09</v>
      </c>
    </row>
    <row r="579">
      <c r="A579" s="6" t="str">
        <f>IFERROR(__xludf.DUMMYFUNCTION("""COMPUTED_VALUE"""),"a5e032ee-dad1-4351-a347-7ea4d55b1420")</f>
        <v>a5e032ee-dad1-4351-a347-7ea4d55b1420</v>
      </c>
      <c r="B579" s="6" t="str">
        <f>IFERROR(__xludf.DUMMYFUNCTION("""COMPUTED_VALUE"""),"f94e4fc1-0dcb-4933-99b0-c545dbc09cac")</f>
        <v>f94e4fc1-0dcb-4933-99b0-c545dbc09cac</v>
      </c>
      <c r="C579" s="7">
        <f>IFERROR(__xludf.DUMMYFUNCTION("""COMPUTED_VALUE"""),45143.0)</f>
        <v>45143</v>
      </c>
      <c r="D579" s="8">
        <f>IFERROR(__xludf.DUMMYFUNCTION("""COMPUTED_VALUE"""),7.938283E7)</f>
        <v>79382830</v>
      </c>
      <c r="E579" s="6" t="str">
        <f>IFERROR(__xludf.DUMMYFUNCTION("""COMPUTED_VALUE"""),"DOCUMENTARY")</f>
        <v>DOCUMENTARY</v>
      </c>
      <c r="F579" s="6" t="str">
        <f>IFERROR(__xludf.DUMMYFUNCTION("""COMPUTED_VALUE"""),"Sci-Fi")</f>
        <v>Sci-Fi</v>
      </c>
      <c r="G579" s="6">
        <f>IFERROR(__xludf.DUMMYFUNCTION("""COMPUTED_VALUE"""),98.0)</f>
        <v>98</v>
      </c>
      <c r="H579" s="6">
        <f>IFERROR(__xludf.DUMMYFUNCTION("""COMPUTED_VALUE"""),1.0)</f>
        <v>1</v>
      </c>
      <c r="I579" s="6" t="str">
        <f>IFERROR(__xludf.DUMMYFUNCTION("""COMPUTED_VALUE"""),"Tablet")</f>
        <v>Tablet</v>
      </c>
      <c r="J579" s="6" t="str">
        <f>IFERROR(__xludf.DUMMYFUNCTION("""COMPUTED_VALUE"""),"Uk")</f>
        <v>Uk</v>
      </c>
      <c r="K579" s="6" t="str">
        <f>IFERROR(__xludf.DUMMYFUNCTION("""COMPUTED_VALUE"""),"Premium")</f>
        <v>Premium</v>
      </c>
      <c r="L579" s="6">
        <f>IFERROR(__xludf.DUMMYFUNCTION("""COMPUTED_VALUE"""),0.0)</f>
        <v>0</v>
      </c>
      <c r="M579" s="6" t="str">
        <f>IFERROR(__xludf.DUMMYFUNCTION("""COMPUTED_VALUE"""),"2023-08")</f>
        <v>2023-08</v>
      </c>
    </row>
    <row r="580">
      <c r="A580" s="6" t="str">
        <f>IFERROR(__xludf.DUMMYFUNCTION("""COMPUTED_VALUE"""),"cd1dd781-0ed1-4276-a0c6-b1e0b0a7ff0b")</f>
        <v>cd1dd781-0ed1-4276-a0c6-b1e0b0a7ff0b</v>
      </c>
      <c r="B580" s="6" t="str">
        <f>IFERROR(__xludf.DUMMYFUNCTION("""COMPUTED_VALUE"""),"f95391f8-e0b7-4a29-9a32-4532ef91e809")</f>
        <v>f95391f8-e0b7-4a29-9a32-4532ef91e809</v>
      </c>
      <c r="C580" s="7">
        <f>IFERROR(__xludf.DUMMYFUNCTION("""COMPUTED_VALUE"""),45042.0)</f>
        <v>45042</v>
      </c>
      <c r="D580" s="8">
        <f>IFERROR(__xludf.DUMMYFUNCTION("""COMPUTED_VALUE"""),1.9706955E7)</f>
        <v>19706955</v>
      </c>
      <c r="E580" s="6" t="str">
        <f>IFERROR(__xludf.DUMMYFUNCTION("""COMPUTED_VALUE"""),"DOCUMENTARY")</f>
        <v>DOCUMENTARY</v>
      </c>
      <c r="F580" s="6" t="str">
        <f>IFERROR(__xludf.DUMMYFUNCTION("""COMPUTED_VALUE"""),"Comedy")</f>
        <v>Comedy</v>
      </c>
      <c r="G580" s="6">
        <f>IFERROR(__xludf.DUMMYFUNCTION("""COMPUTED_VALUE"""),72.0)</f>
        <v>72</v>
      </c>
      <c r="H580" s="6">
        <f>IFERROR(__xludf.DUMMYFUNCTION("""COMPUTED_VALUE"""),0.0)</f>
        <v>0</v>
      </c>
      <c r="I580" s="6" t="str">
        <f>IFERROR(__xludf.DUMMYFUNCTION("""COMPUTED_VALUE"""),"Desktop")</f>
        <v>Desktop</v>
      </c>
      <c r="J580" s="6" t="str">
        <f>IFERROR(__xludf.DUMMYFUNCTION("""COMPUTED_VALUE"""),"Usa")</f>
        <v>Usa</v>
      </c>
      <c r="K580" s="6" t="str">
        <f>IFERROR(__xludf.DUMMYFUNCTION("""COMPUTED_VALUE"""),"Basic")</f>
        <v>Basic</v>
      </c>
      <c r="L580" s="6">
        <f>IFERROR(__xludf.DUMMYFUNCTION("""COMPUTED_VALUE"""),1.0)</f>
        <v>1</v>
      </c>
      <c r="M580" s="6" t="str">
        <f>IFERROR(__xludf.DUMMYFUNCTION("""COMPUTED_VALUE"""),"2023-04")</f>
        <v>2023-04</v>
      </c>
    </row>
    <row r="581">
      <c r="A581" s="6" t="str">
        <f>IFERROR(__xludf.DUMMYFUNCTION("""COMPUTED_VALUE"""),"5ee2bab3-eede-4591-b2a9-8ae2f76f2688")</f>
        <v>5ee2bab3-eede-4591-b2a9-8ae2f76f2688</v>
      </c>
      <c r="B581" s="6" t="str">
        <f>IFERROR(__xludf.DUMMYFUNCTION("""COMPUTED_VALUE"""),"f96ab96b-5b76-4725-9b56-14247969eb99")</f>
        <v>f96ab96b-5b76-4725-9b56-14247969eb99</v>
      </c>
      <c r="C581" s="7">
        <f>IFERROR(__xludf.DUMMYFUNCTION("""COMPUTED_VALUE"""),44932.0)</f>
        <v>44932</v>
      </c>
      <c r="D581" s="8">
        <f>IFERROR(__xludf.DUMMYFUNCTION("""COMPUTED_VALUE"""),7.8005464E7)</f>
        <v>78005464</v>
      </c>
      <c r="E581" s="6" t="str">
        <f>IFERROR(__xludf.DUMMYFUNCTION("""COMPUTED_VALUE"""),"MOVIE")</f>
        <v>MOVIE</v>
      </c>
      <c r="F581" s="6" t="str">
        <f>IFERROR(__xludf.DUMMYFUNCTION("""COMPUTED_VALUE"""),"Action")</f>
        <v>Action</v>
      </c>
      <c r="G581" s="6">
        <f>IFERROR(__xludf.DUMMYFUNCTION("""COMPUTED_VALUE"""),106.0)</f>
        <v>106</v>
      </c>
      <c r="H581" s="6">
        <f>IFERROR(__xludf.DUMMYFUNCTION("""COMPUTED_VALUE"""),1.0)</f>
        <v>1</v>
      </c>
      <c r="I581" s="6" t="str">
        <f>IFERROR(__xludf.DUMMYFUNCTION("""COMPUTED_VALUE"""),"Mobile")</f>
        <v>Mobile</v>
      </c>
      <c r="J581" s="6" t="str">
        <f>IFERROR(__xludf.DUMMYFUNCTION("""COMPUTED_VALUE"""),"France")</f>
        <v>France</v>
      </c>
      <c r="K581" s="6" t="str">
        <f>IFERROR(__xludf.DUMMYFUNCTION("""COMPUTED_VALUE"""),"Premium")</f>
        <v>Premium</v>
      </c>
      <c r="L581" s="6">
        <f>IFERROR(__xludf.DUMMYFUNCTION("""COMPUTED_VALUE"""),0.0)</f>
        <v>0</v>
      </c>
      <c r="M581" s="6" t="str">
        <f>IFERROR(__xludf.DUMMYFUNCTION("""COMPUTED_VALUE"""),"2023-01")</f>
        <v>2023-01</v>
      </c>
    </row>
    <row r="582">
      <c r="A582" s="6" t="str">
        <f>IFERROR(__xludf.DUMMYFUNCTION("""COMPUTED_VALUE"""),"4fa7306b-bb92-40a8-b449-0f50c45f9d56")</f>
        <v>4fa7306b-bb92-40a8-b449-0f50c45f9d56</v>
      </c>
      <c r="B582" s="6" t="str">
        <f>IFERROR(__xludf.DUMMYFUNCTION("""COMPUTED_VALUE"""),"f98c1823-54e9-43a6-bd9b-5e7e6189bcb1")</f>
        <v>f98c1823-54e9-43a6-bd9b-5e7e6189bcb1</v>
      </c>
      <c r="C582" s="7">
        <f>IFERROR(__xludf.DUMMYFUNCTION("""COMPUTED_VALUE"""),45009.0)</f>
        <v>45009</v>
      </c>
      <c r="D582" s="8">
        <f>IFERROR(__xludf.DUMMYFUNCTION("""COMPUTED_VALUE"""),8.958813E7)</f>
        <v>89588130</v>
      </c>
      <c r="E582" s="6" t="str">
        <f>IFERROR(__xludf.DUMMYFUNCTION("""COMPUTED_VALUE"""),"DOCUMENTARY")</f>
        <v>DOCUMENTARY</v>
      </c>
      <c r="F582" s="6" t="str">
        <f>IFERROR(__xludf.DUMMYFUNCTION("""COMPUTED_VALUE"""),"Action")</f>
        <v>Action</v>
      </c>
      <c r="G582" s="6">
        <f>IFERROR(__xludf.DUMMYFUNCTION("""COMPUTED_VALUE"""),113.0)</f>
        <v>113</v>
      </c>
      <c r="H582" s="6">
        <f>IFERROR(__xludf.DUMMYFUNCTION("""COMPUTED_VALUE"""),1.0)</f>
        <v>1</v>
      </c>
      <c r="I582" s="6" t="str">
        <f>IFERROR(__xludf.DUMMYFUNCTION("""COMPUTED_VALUE"""),"Smart Tv")</f>
        <v>Smart Tv</v>
      </c>
      <c r="J582" s="6" t="str">
        <f>IFERROR(__xludf.DUMMYFUNCTION("""COMPUTED_VALUE"""),"France")</f>
        <v>France</v>
      </c>
      <c r="K582" s="6" t="str">
        <f>IFERROR(__xludf.DUMMYFUNCTION("""COMPUTED_VALUE"""),"Premium")</f>
        <v>Premium</v>
      </c>
      <c r="L582" s="6">
        <f>IFERROR(__xludf.DUMMYFUNCTION("""COMPUTED_VALUE"""),1.0)</f>
        <v>1</v>
      </c>
      <c r="M582" s="6" t="str">
        <f>IFERROR(__xludf.DUMMYFUNCTION("""COMPUTED_VALUE"""),"2023-03")</f>
        <v>2023-03</v>
      </c>
    </row>
    <row r="583">
      <c r="A583" s="6" t="str">
        <f>IFERROR(__xludf.DUMMYFUNCTION("""COMPUTED_VALUE"""),"ab19f6b2-455d-4e28-ab27-e1793afc9092")</f>
        <v>ab19f6b2-455d-4e28-ab27-e1793afc9092</v>
      </c>
      <c r="B583" s="6" t="str">
        <f>IFERROR(__xludf.DUMMYFUNCTION("""COMPUTED_VALUE"""),"f9e763d9-2cd0-48c2-acec-a3f5842fa199")</f>
        <v>f9e763d9-2cd0-48c2-acec-a3f5842fa199</v>
      </c>
      <c r="C583" s="7">
        <f>IFERROR(__xludf.DUMMYFUNCTION("""COMPUTED_VALUE"""),45230.0)</f>
        <v>45230</v>
      </c>
      <c r="D583" s="8">
        <f>IFERROR(__xludf.DUMMYFUNCTION("""COMPUTED_VALUE"""),5.7527604E7)</f>
        <v>57527604</v>
      </c>
      <c r="E583" s="6" t="str">
        <f>IFERROR(__xludf.DUMMYFUNCTION("""COMPUTED_VALUE"""),"MOVIE")</f>
        <v>MOVIE</v>
      </c>
      <c r="F583" s="6" t="str">
        <f>IFERROR(__xludf.DUMMYFUNCTION("""COMPUTED_VALUE"""),"Action")</f>
        <v>Action</v>
      </c>
      <c r="G583" s="6">
        <f>IFERROR(__xludf.DUMMYFUNCTION("""COMPUTED_VALUE"""),146.0)</f>
        <v>146</v>
      </c>
      <c r="H583" s="6">
        <f>IFERROR(__xludf.DUMMYFUNCTION("""COMPUTED_VALUE"""),0.0)</f>
        <v>0</v>
      </c>
      <c r="I583" s="6" t="str">
        <f>IFERROR(__xludf.DUMMYFUNCTION("""COMPUTED_VALUE"""),"Tablet")</f>
        <v>Tablet</v>
      </c>
      <c r="J583" s="6" t="str">
        <f>IFERROR(__xludf.DUMMYFUNCTION("""COMPUTED_VALUE"""),"Germany")</f>
        <v>Germany</v>
      </c>
      <c r="K583" s="6" t="str">
        <f>IFERROR(__xludf.DUMMYFUNCTION("""COMPUTED_VALUE"""),"Premium")</f>
        <v>Premium</v>
      </c>
      <c r="L583" s="6">
        <f>IFERROR(__xludf.DUMMYFUNCTION("""COMPUTED_VALUE"""),0.0)</f>
        <v>0</v>
      </c>
      <c r="M583" s="6" t="str">
        <f>IFERROR(__xludf.DUMMYFUNCTION("""COMPUTED_VALUE"""),"2023-10")</f>
        <v>2023-10</v>
      </c>
    </row>
    <row r="584">
      <c r="A584" s="6" t="str">
        <f>IFERROR(__xludf.DUMMYFUNCTION("""COMPUTED_VALUE"""),"cc728558-f887-4123-b263-dd1133f232a2")</f>
        <v>cc728558-f887-4123-b263-dd1133f232a2</v>
      </c>
      <c r="B584" s="6" t="str">
        <f>IFERROR(__xludf.DUMMYFUNCTION("""COMPUTED_VALUE"""),"fa0a05a1-e7bc-4d09-81e6-da0a93aabc3c")</f>
        <v>fa0a05a1-e7bc-4d09-81e6-da0a93aabc3c</v>
      </c>
      <c r="C584" s="7">
        <f>IFERROR(__xludf.DUMMYFUNCTION("""COMPUTED_VALUE"""),45136.0)</f>
        <v>45136</v>
      </c>
      <c r="D584" s="8">
        <f>IFERROR(__xludf.DUMMYFUNCTION("""COMPUTED_VALUE"""),3.6641598E7)</f>
        <v>36641598</v>
      </c>
      <c r="E584" s="6" t="str">
        <f>IFERROR(__xludf.DUMMYFUNCTION("""COMPUTED_VALUE"""),"MOVIE")</f>
        <v>MOVIE</v>
      </c>
      <c r="F584" s="6" t="str">
        <f>IFERROR(__xludf.DUMMYFUNCTION("""COMPUTED_VALUE"""),"Sci-Fi")</f>
        <v>Sci-Fi</v>
      </c>
      <c r="G584" s="6">
        <f>IFERROR(__xludf.DUMMYFUNCTION("""COMPUTED_VALUE"""),66.0)</f>
        <v>66</v>
      </c>
      <c r="H584" s="6">
        <f>IFERROR(__xludf.DUMMYFUNCTION("""COMPUTED_VALUE"""),0.0)</f>
        <v>0</v>
      </c>
      <c r="I584" s="6" t="str">
        <f>IFERROR(__xludf.DUMMYFUNCTION("""COMPUTED_VALUE"""),"Mobile")</f>
        <v>Mobile</v>
      </c>
      <c r="J584" s="6" t="str">
        <f>IFERROR(__xludf.DUMMYFUNCTION("""COMPUTED_VALUE"""),"France")</f>
        <v>France</v>
      </c>
      <c r="K584" s="6" t="str">
        <f>IFERROR(__xludf.DUMMYFUNCTION("""COMPUTED_VALUE"""),"Standard")</f>
        <v>Standard</v>
      </c>
      <c r="L584" s="6">
        <f>IFERROR(__xludf.DUMMYFUNCTION("""COMPUTED_VALUE"""),0.0)</f>
        <v>0</v>
      </c>
      <c r="M584" s="6" t="str">
        <f>IFERROR(__xludf.DUMMYFUNCTION("""COMPUTED_VALUE"""),"2023-07")</f>
        <v>2023-07</v>
      </c>
    </row>
    <row r="585">
      <c r="A585" s="6" t="str">
        <f>IFERROR(__xludf.DUMMYFUNCTION("""COMPUTED_VALUE"""),"7e627fd8-ea8d-4075-9e7b-629493bbaa28")</f>
        <v>7e627fd8-ea8d-4075-9e7b-629493bbaa28</v>
      </c>
      <c r="B585" s="6" t="str">
        <f>IFERROR(__xludf.DUMMYFUNCTION("""COMPUTED_VALUE"""),"fa294b11-d732-4518-8ab2-98e94c690a94")</f>
        <v>fa294b11-d732-4518-8ab2-98e94c690a94</v>
      </c>
      <c r="C585" s="7">
        <f>IFERROR(__xludf.DUMMYFUNCTION("""COMPUTED_VALUE"""),45058.0)</f>
        <v>45058</v>
      </c>
      <c r="D585" s="8">
        <f>IFERROR(__xludf.DUMMYFUNCTION("""COMPUTED_VALUE"""),4.6222923E7)</f>
        <v>46222923</v>
      </c>
      <c r="E585" s="6" t="str">
        <f>IFERROR(__xludf.DUMMYFUNCTION("""COMPUTED_VALUE"""),"MOVIE")</f>
        <v>MOVIE</v>
      </c>
      <c r="F585" s="6" t="str">
        <f>IFERROR(__xludf.DUMMYFUNCTION("""COMPUTED_VALUE"""),"Action")</f>
        <v>Action</v>
      </c>
      <c r="G585" s="6">
        <f>IFERROR(__xludf.DUMMYFUNCTION("""COMPUTED_VALUE"""),77.0)</f>
        <v>77</v>
      </c>
      <c r="H585" s="6">
        <f>IFERROR(__xludf.DUMMYFUNCTION("""COMPUTED_VALUE"""),0.0)</f>
        <v>0</v>
      </c>
      <c r="I585" s="6" t="str">
        <f>IFERROR(__xludf.DUMMYFUNCTION("""COMPUTED_VALUE"""),"Tablet")</f>
        <v>Tablet</v>
      </c>
      <c r="J585" s="6" t="str">
        <f>IFERROR(__xludf.DUMMYFUNCTION("""COMPUTED_VALUE"""),"Germany")</f>
        <v>Germany</v>
      </c>
      <c r="K585" s="6" t="str">
        <f>IFERROR(__xludf.DUMMYFUNCTION("""COMPUTED_VALUE"""),"Premium")</f>
        <v>Premium</v>
      </c>
      <c r="L585" s="6">
        <f>IFERROR(__xludf.DUMMYFUNCTION("""COMPUTED_VALUE"""),0.0)</f>
        <v>0</v>
      </c>
      <c r="M585" s="6" t="str">
        <f>IFERROR(__xludf.DUMMYFUNCTION("""COMPUTED_VALUE"""),"2023-05")</f>
        <v>2023-05</v>
      </c>
    </row>
    <row r="586">
      <c r="A586" s="6" t="str">
        <f>IFERROR(__xludf.DUMMYFUNCTION("""COMPUTED_VALUE"""),"f0ae75be-6098-4886-bf8f-07470a0935b4")</f>
        <v>f0ae75be-6098-4886-bf8f-07470a0935b4</v>
      </c>
      <c r="B586" s="6" t="str">
        <f>IFERROR(__xludf.DUMMYFUNCTION("""COMPUTED_VALUE"""),"fa3f9a20-a346-45ed-8a6e-dc95c6410236")</f>
        <v>fa3f9a20-a346-45ed-8a6e-dc95c6410236</v>
      </c>
      <c r="C586" s="7">
        <f>IFERROR(__xludf.DUMMYFUNCTION("""COMPUTED_VALUE"""),44932.0)</f>
        <v>44932</v>
      </c>
      <c r="D586" s="8">
        <f>IFERROR(__xludf.DUMMYFUNCTION("""COMPUTED_VALUE"""),3.4242445E7)</f>
        <v>34242445</v>
      </c>
      <c r="E586" s="6" t="str">
        <f>IFERROR(__xludf.DUMMYFUNCTION("""COMPUTED_VALUE"""),"MOVIE")</f>
        <v>MOVIE</v>
      </c>
      <c r="F586" s="6" t="str">
        <f>IFERROR(__xludf.DUMMYFUNCTION("""COMPUTED_VALUE"""),"Action")</f>
        <v>Action</v>
      </c>
      <c r="G586" s="6">
        <f>IFERROR(__xludf.DUMMYFUNCTION("""COMPUTED_VALUE"""),107.0)</f>
        <v>107</v>
      </c>
      <c r="H586" s="6">
        <f>IFERROR(__xludf.DUMMYFUNCTION("""COMPUTED_VALUE"""),0.0)</f>
        <v>0</v>
      </c>
      <c r="I586" s="6" t="str">
        <f>IFERROR(__xludf.DUMMYFUNCTION("""COMPUTED_VALUE"""),"Mobile")</f>
        <v>Mobile</v>
      </c>
      <c r="J586" s="6" t="str">
        <f>IFERROR(__xludf.DUMMYFUNCTION("""COMPUTED_VALUE"""),"India")</f>
        <v>India</v>
      </c>
      <c r="K586" s="6" t="str">
        <f>IFERROR(__xludf.DUMMYFUNCTION("""COMPUTED_VALUE"""),"Standard")</f>
        <v>Standard</v>
      </c>
      <c r="L586" s="6">
        <f>IFERROR(__xludf.DUMMYFUNCTION("""COMPUTED_VALUE"""),0.0)</f>
        <v>0</v>
      </c>
      <c r="M586" s="6" t="str">
        <f>IFERROR(__xludf.DUMMYFUNCTION("""COMPUTED_VALUE"""),"2023-01")</f>
        <v>2023-01</v>
      </c>
    </row>
    <row r="587">
      <c r="A587" s="6" t="str">
        <f>IFERROR(__xludf.DUMMYFUNCTION("""COMPUTED_VALUE"""),"21f8dc27-7314-4fe9-b9da-09d5119b988c")</f>
        <v>21f8dc27-7314-4fe9-b9da-09d5119b988c</v>
      </c>
      <c r="B587" s="6" t="str">
        <f>IFERROR(__xludf.DUMMYFUNCTION("""COMPUTED_VALUE"""),"fa7551a6-374f-4244-9c5c-35880491a812")</f>
        <v>fa7551a6-374f-4244-9c5c-35880491a812</v>
      </c>
      <c r="C587" s="7">
        <f>IFERROR(__xludf.DUMMYFUNCTION("""COMPUTED_VALUE"""),45070.0)</f>
        <v>45070</v>
      </c>
      <c r="D587" s="8">
        <f>IFERROR(__xludf.DUMMYFUNCTION("""COMPUTED_VALUE"""),4.2731535E7)</f>
        <v>42731535</v>
      </c>
      <c r="E587" s="6" t="str">
        <f>IFERROR(__xludf.DUMMYFUNCTION("""COMPUTED_VALUE"""),"SERIES")</f>
        <v>SERIES</v>
      </c>
      <c r="F587" s="6" t="str">
        <f>IFERROR(__xludf.DUMMYFUNCTION("""COMPUTED_VALUE"""),"Sci-Fi")</f>
        <v>Sci-Fi</v>
      </c>
      <c r="G587" s="6">
        <f>IFERROR(__xludf.DUMMYFUNCTION("""COMPUTED_VALUE"""),147.0)</f>
        <v>147</v>
      </c>
      <c r="H587" s="6">
        <f>IFERROR(__xludf.DUMMYFUNCTION("""COMPUTED_VALUE"""),1.0)</f>
        <v>1</v>
      </c>
      <c r="I587" s="6" t="str">
        <f>IFERROR(__xludf.DUMMYFUNCTION("""COMPUTED_VALUE"""),"Smart Tv")</f>
        <v>Smart Tv</v>
      </c>
      <c r="J587" s="6" t="str">
        <f>IFERROR(__xludf.DUMMYFUNCTION("""COMPUTED_VALUE"""),"Uk")</f>
        <v>Uk</v>
      </c>
      <c r="K587" s="6" t="str">
        <f>IFERROR(__xludf.DUMMYFUNCTION("""COMPUTED_VALUE"""),"Premium")</f>
        <v>Premium</v>
      </c>
      <c r="L587" s="6">
        <f>IFERROR(__xludf.DUMMYFUNCTION("""COMPUTED_VALUE"""),0.0)</f>
        <v>0</v>
      </c>
      <c r="M587" s="6" t="str">
        <f>IFERROR(__xludf.DUMMYFUNCTION("""COMPUTED_VALUE"""),"2023-05")</f>
        <v>2023-05</v>
      </c>
    </row>
    <row r="588">
      <c r="A588" s="6" t="str">
        <f>IFERROR(__xludf.DUMMYFUNCTION("""COMPUTED_VALUE"""),"b0537fbb-2bcd-4cf3-adfc-297ac2888198")</f>
        <v>b0537fbb-2bcd-4cf3-adfc-297ac2888198</v>
      </c>
      <c r="B588" s="6" t="str">
        <f>IFERROR(__xludf.DUMMYFUNCTION("""COMPUTED_VALUE"""),"fad52d46-63d0-49f4-89ce-689bf9687434")</f>
        <v>fad52d46-63d0-49f4-89ce-689bf9687434</v>
      </c>
      <c r="C588" s="7">
        <f>IFERROR(__xludf.DUMMYFUNCTION("""COMPUTED_VALUE"""),45228.0)</f>
        <v>45228</v>
      </c>
      <c r="D588" s="8">
        <f>IFERROR(__xludf.DUMMYFUNCTION("""COMPUTED_VALUE"""),9.0026935E7)</f>
        <v>90026935</v>
      </c>
      <c r="E588" s="6" t="str">
        <f>IFERROR(__xludf.DUMMYFUNCTION("""COMPUTED_VALUE"""),"DOCUMENTARY")</f>
        <v>DOCUMENTARY</v>
      </c>
      <c r="F588" s="6" t="str">
        <f>IFERROR(__xludf.DUMMYFUNCTION("""COMPUTED_VALUE"""),"Action")</f>
        <v>Action</v>
      </c>
      <c r="G588" s="6">
        <f>IFERROR(__xludf.DUMMYFUNCTION("""COMPUTED_VALUE"""),135.0)</f>
        <v>135</v>
      </c>
      <c r="H588" s="6">
        <f>IFERROR(__xludf.DUMMYFUNCTION("""COMPUTED_VALUE"""),1.0)</f>
        <v>1</v>
      </c>
      <c r="I588" s="6" t="str">
        <f>IFERROR(__xludf.DUMMYFUNCTION("""COMPUTED_VALUE"""),"Desktop")</f>
        <v>Desktop</v>
      </c>
      <c r="J588" s="6" t="str">
        <f>IFERROR(__xludf.DUMMYFUNCTION("""COMPUTED_VALUE"""),"France")</f>
        <v>France</v>
      </c>
      <c r="K588" s="6" t="str">
        <f>IFERROR(__xludf.DUMMYFUNCTION("""COMPUTED_VALUE"""),"Standard")</f>
        <v>Standard</v>
      </c>
      <c r="L588" s="6">
        <f>IFERROR(__xludf.DUMMYFUNCTION("""COMPUTED_VALUE"""),0.0)</f>
        <v>0</v>
      </c>
      <c r="M588" s="6" t="str">
        <f>IFERROR(__xludf.DUMMYFUNCTION("""COMPUTED_VALUE"""),"2023-10")</f>
        <v>2023-10</v>
      </c>
    </row>
    <row r="589">
      <c r="A589" s="6" t="str">
        <f>IFERROR(__xludf.DUMMYFUNCTION("""COMPUTED_VALUE"""),"c75833ca-1fc1-4605-a80c-ddb8049abf9d")</f>
        <v>c75833ca-1fc1-4605-a80c-ddb8049abf9d</v>
      </c>
      <c r="B589" s="6" t="str">
        <f>IFERROR(__xludf.DUMMYFUNCTION("""COMPUTED_VALUE"""),"fae46de8-1da2-490c-a0ce-bd21914393c7")</f>
        <v>fae46de8-1da2-490c-a0ce-bd21914393c7</v>
      </c>
      <c r="C589" s="7">
        <f>IFERROR(__xludf.DUMMYFUNCTION("""COMPUTED_VALUE"""),44990.0)</f>
        <v>44990</v>
      </c>
      <c r="D589" s="8">
        <f>IFERROR(__xludf.DUMMYFUNCTION("""COMPUTED_VALUE"""),2.6777788E7)</f>
        <v>26777788</v>
      </c>
      <c r="E589" s="6" t="str">
        <f>IFERROR(__xludf.DUMMYFUNCTION("""COMPUTED_VALUE"""),"SERIES")</f>
        <v>SERIES</v>
      </c>
      <c r="F589" s="6" t="str">
        <f>IFERROR(__xludf.DUMMYFUNCTION("""COMPUTED_VALUE"""),"Comedy")</f>
        <v>Comedy</v>
      </c>
      <c r="G589" s="6">
        <f>IFERROR(__xludf.DUMMYFUNCTION("""COMPUTED_VALUE"""),12.0)</f>
        <v>12</v>
      </c>
      <c r="H589" s="6">
        <f>IFERROR(__xludf.DUMMYFUNCTION("""COMPUTED_VALUE"""),1.0)</f>
        <v>1</v>
      </c>
      <c r="I589" s="6" t="str">
        <f>IFERROR(__xludf.DUMMYFUNCTION("""COMPUTED_VALUE"""),"Tablet")</f>
        <v>Tablet</v>
      </c>
      <c r="J589" s="6" t="str">
        <f>IFERROR(__xludf.DUMMYFUNCTION("""COMPUTED_VALUE"""),"Usa")</f>
        <v>Usa</v>
      </c>
      <c r="K589" s="6" t="str">
        <f>IFERROR(__xludf.DUMMYFUNCTION("""COMPUTED_VALUE"""),"Premium")</f>
        <v>Premium</v>
      </c>
      <c r="L589" s="6">
        <f>IFERROR(__xludf.DUMMYFUNCTION("""COMPUTED_VALUE"""),0.0)</f>
        <v>0</v>
      </c>
      <c r="M589" s="6" t="str">
        <f>IFERROR(__xludf.DUMMYFUNCTION("""COMPUTED_VALUE"""),"2023-03")</f>
        <v>2023-03</v>
      </c>
    </row>
    <row r="590">
      <c r="A590" s="6" t="str">
        <f>IFERROR(__xludf.DUMMYFUNCTION("""COMPUTED_VALUE"""),"649d997c-1925-46e9-b7bd-7bec42951976")</f>
        <v>649d997c-1925-46e9-b7bd-7bec42951976</v>
      </c>
      <c r="B590" s="6" t="str">
        <f>IFERROR(__xludf.DUMMYFUNCTION("""COMPUTED_VALUE"""),"fc1f93a6-d23d-4ee0-8854-68c5ea4b0689")</f>
        <v>fc1f93a6-d23d-4ee0-8854-68c5ea4b0689</v>
      </c>
      <c r="C590" s="7">
        <f>IFERROR(__xludf.DUMMYFUNCTION("""COMPUTED_VALUE"""),44990.0)</f>
        <v>44990</v>
      </c>
      <c r="D590" s="8">
        <f>IFERROR(__xludf.DUMMYFUNCTION("""COMPUTED_VALUE"""),9328099.0)</f>
        <v>9328099</v>
      </c>
      <c r="E590" s="6" t="str">
        <f>IFERROR(__xludf.DUMMYFUNCTION("""COMPUTED_VALUE"""),"MOVIE")</f>
        <v>MOVIE</v>
      </c>
      <c r="F590" s="6" t="str">
        <f>IFERROR(__xludf.DUMMYFUNCTION("""COMPUTED_VALUE"""),"Comedy")</f>
        <v>Comedy</v>
      </c>
      <c r="G590" s="6">
        <f>IFERROR(__xludf.DUMMYFUNCTION("""COMPUTED_VALUE"""),173.0)</f>
        <v>173</v>
      </c>
      <c r="H590" s="6">
        <f>IFERROR(__xludf.DUMMYFUNCTION("""COMPUTED_VALUE"""),0.0)</f>
        <v>0</v>
      </c>
      <c r="I590" s="6" t="str">
        <f>IFERROR(__xludf.DUMMYFUNCTION("""COMPUTED_VALUE"""),"Mobile")</f>
        <v>Mobile</v>
      </c>
      <c r="J590" s="6" t="str">
        <f>IFERROR(__xludf.DUMMYFUNCTION("""COMPUTED_VALUE"""),"Uk")</f>
        <v>Uk</v>
      </c>
      <c r="K590" s="6" t="str">
        <f>IFERROR(__xludf.DUMMYFUNCTION("""COMPUTED_VALUE"""),"Standard")</f>
        <v>Standard</v>
      </c>
      <c r="L590" s="6">
        <f>IFERROR(__xludf.DUMMYFUNCTION("""COMPUTED_VALUE"""),0.0)</f>
        <v>0</v>
      </c>
      <c r="M590" s="6" t="str">
        <f>IFERROR(__xludf.DUMMYFUNCTION("""COMPUTED_VALUE"""),"2023-03")</f>
        <v>2023-03</v>
      </c>
    </row>
    <row r="591">
      <c r="A591" s="6" t="str">
        <f>IFERROR(__xludf.DUMMYFUNCTION("""COMPUTED_VALUE"""),"ce0c6aca-bf28-4e4f-a327-bbde83dbcc95")</f>
        <v>ce0c6aca-bf28-4e4f-a327-bbde83dbcc95</v>
      </c>
      <c r="B591" s="6" t="str">
        <f>IFERROR(__xludf.DUMMYFUNCTION("""COMPUTED_VALUE"""),"fcd18e4e-55a6-4cc0-8c5f-152bdb9fc99f")</f>
        <v>fcd18e4e-55a6-4cc0-8c5f-152bdb9fc99f</v>
      </c>
      <c r="C591" s="7">
        <f>IFERROR(__xludf.DUMMYFUNCTION("""COMPUTED_VALUE"""),45067.0)</f>
        <v>45067</v>
      </c>
      <c r="D591" s="8">
        <f>IFERROR(__xludf.DUMMYFUNCTION("""COMPUTED_VALUE"""),8.419125E7)</f>
        <v>84191250</v>
      </c>
      <c r="E591" s="6" t="str">
        <f>IFERROR(__xludf.DUMMYFUNCTION("""COMPUTED_VALUE"""),"SERIES")</f>
        <v>SERIES</v>
      </c>
      <c r="F591" s="6" t="str">
        <f>IFERROR(__xludf.DUMMYFUNCTION("""COMPUTED_VALUE"""),"Comedy")</f>
        <v>Comedy</v>
      </c>
      <c r="G591" s="6">
        <f>IFERROR(__xludf.DUMMYFUNCTION("""COMPUTED_VALUE"""),43.0)</f>
        <v>43</v>
      </c>
      <c r="H591" s="6">
        <f>IFERROR(__xludf.DUMMYFUNCTION("""COMPUTED_VALUE"""),1.0)</f>
        <v>1</v>
      </c>
      <c r="I591" s="6" t="str">
        <f>IFERROR(__xludf.DUMMYFUNCTION("""COMPUTED_VALUE"""),"Smart Tv")</f>
        <v>Smart Tv</v>
      </c>
      <c r="J591" s="6" t="str">
        <f>IFERROR(__xludf.DUMMYFUNCTION("""COMPUTED_VALUE"""),"France")</f>
        <v>France</v>
      </c>
      <c r="K591" s="6" t="str">
        <f>IFERROR(__xludf.DUMMYFUNCTION("""COMPUTED_VALUE"""),"Standard")</f>
        <v>Standard</v>
      </c>
      <c r="L591" s="6">
        <f>IFERROR(__xludf.DUMMYFUNCTION("""COMPUTED_VALUE"""),0.0)</f>
        <v>0</v>
      </c>
      <c r="M591" s="6" t="str">
        <f>IFERROR(__xludf.DUMMYFUNCTION("""COMPUTED_VALUE"""),"2023-05")</f>
        <v>2023-05</v>
      </c>
    </row>
    <row r="592">
      <c r="A592" s="6" t="str">
        <f>IFERROR(__xludf.DUMMYFUNCTION("""COMPUTED_VALUE"""),"6c4cd909-d97a-47da-9c18-6c3017dd4ab3")</f>
        <v>6c4cd909-d97a-47da-9c18-6c3017dd4ab3</v>
      </c>
      <c r="B592" s="6" t="str">
        <f>IFERROR(__xludf.DUMMYFUNCTION("""COMPUTED_VALUE"""),"fd5a124f-58e6-40d5-b089-eb68305e37e9")</f>
        <v>fd5a124f-58e6-40d5-b089-eb68305e37e9</v>
      </c>
      <c r="C592" s="7">
        <f>IFERROR(__xludf.DUMMYFUNCTION("""COMPUTED_VALUE"""),45254.0)</f>
        <v>45254</v>
      </c>
      <c r="D592" s="8">
        <f>IFERROR(__xludf.DUMMYFUNCTION("""COMPUTED_VALUE"""),6.7309627E7)</f>
        <v>67309627</v>
      </c>
      <c r="E592" s="6" t="str">
        <f>IFERROR(__xludf.DUMMYFUNCTION("""COMPUTED_VALUE"""),"DOCUMENTARY")</f>
        <v>DOCUMENTARY</v>
      </c>
      <c r="F592" s="6" t="str">
        <f>IFERROR(__xludf.DUMMYFUNCTION("""COMPUTED_VALUE"""),"Comedy")</f>
        <v>Comedy</v>
      </c>
      <c r="G592" s="6">
        <f>IFERROR(__xludf.DUMMYFUNCTION("""COMPUTED_VALUE"""),36.0)</f>
        <v>36</v>
      </c>
      <c r="H592" s="6">
        <f>IFERROR(__xludf.DUMMYFUNCTION("""COMPUTED_VALUE"""),1.0)</f>
        <v>1</v>
      </c>
      <c r="I592" s="6" t="str">
        <f>IFERROR(__xludf.DUMMYFUNCTION("""COMPUTED_VALUE"""),"Mobile")</f>
        <v>Mobile</v>
      </c>
      <c r="J592" s="6" t="str">
        <f>IFERROR(__xludf.DUMMYFUNCTION("""COMPUTED_VALUE"""),"India")</f>
        <v>India</v>
      </c>
      <c r="K592" s="6" t="str">
        <f>IFERROR(__xludf.DUMMYFUNCTION("""COMPUTED_VALUE"""),"Basic")</f>
        <v>Basic</v>
      </c>
      <c r="L592" s="6">
        <f>IFERROR(__xludf.DUMMYFUNCTION("""COMPUTED_VALUE"""),0.0)</f>
        <v>0</v>
      </c>
      <c r="M592" s="6" t="str">
        <f>IFERROR(__xludf.DUMMYFUNCTION("""COMPUTED_VALUE"""),"2023-11")</f>
        <v>2023-11</v>
      </c>
    </row>
    <row r="593">
      <c r="A593" s="6" t="str">
        <f>IFERROR(__xludf.DUMMYFUNCTION("""COMPUTED_VALUE"""),"c8185e5a-c72e-4c73-bd04-da3ddbcf116b")</f>
        <v>c8185e5a-c72e-4c73-bd04-da3ddbcf116b</v>
      </c>
      <c r="B593" s="6" t="str">
        <f>IFERROR(__xludf.DUMMYFUNCTION("""COMPUTED_VALUE"""),"fd940478-bbb6-4059-8a59-f5dc395ac924")</f>
        <v>fd940478-bbb6-4059-8a59-f5dc395ac924</v>
      </c>
      <c r="C593" s="7">
        <f>IFERROR(__xludf.DUMMYFUNCTION("""COMPUTED_VALUE"""),44952.0)</f>
        <v>44952</v>
      </c>
      <c r="D593" s="8">
        <f>IFERROR(__xludf.DUMMYFUNCTION("""COMPUTED_VALUE"""),1.3982515E7)</f>
        <v>13982515</v>
      </c>
      <c r="E593" s="6" t="str">
        <f>IFERROR(__xludf.DUMMYFUNCTION("""COMPUTED_VALUE"""),"SERIES")</f>
        <v>SERIES</v>
      </c>
      <c r="F593" s="6" t="str">
        <f>IFERROR(__xludf.DUMMYFUNCTION("""COMPUTED_VALUE"""),"Thriller")</f>
        <v>Thriller</v>
      </c>
      <c r="G593" s="6">
        <f>IFERROR(__xludf.DUMMYFUNCTION("""COMPUTED_VALUE"""),77.0)</f>
        <v>77</v>
      </c>
      <c r="H593" s="6">
        <f>IFERROR(__xludf.DUMMYFUNCTION("""COMPUTED_VALUE"""),1.0)</f>
        <v>1</v>
      </c>
      <c r="I593" s="6" t="str">
        <f>IFERROR(__xludf.DUMMYFUNCTION("""COMPUTED_VALUE"""),"Desktop")</f>
        <v>Desktop</v>
      </c>
      <c r="J593" s="6" t="str">
        <f>IFERROR(__xludf.DUMMYFUNCTION("""COMPUTED_VALUE"""),"Germany")</f>
        <v>Germany</v>
      </c>
      <c r="K593" s="6" t="str">
        <f>IFERROR(__xludf.DUMMYFUNCTION("""COMPUTED_VALUE"""),"Standard")</f>
        <v>Standard</v>
      </c>
      <c r="L593" s="6">
        <f>IFERROR(__xludf.DUMMYFUNCTION("""COMPUTED_VALUE"""),0.0)</f>
        <v>0</v>
      </c>
      <c r="M593" s="6" t="str">
        <f>IFERROR(__xludf.DUMMYFUNCTION("""COMPUTED_VALUE"""),"2023-01")</f>
        <v>2023-01</v>
      </c>
    </row>
    <row r="594">
      <c r="A594" s="6" t="str">
        <f>IFERROR(__xludf.DUMMYFUNCTION("""COMPUTED_VALUE"""),"7ef4dd9d-ed04-4250-93e8-b9f1798b87b9")</f>
        <v>7ef4dd9d-ed04-4250-93e8-b9f1798b87b9</v>
      </c>
      <c r="B594" s="6" t="str">
        <f>IFERROR(__xludf.DUMMYFUNCTION("""COMPUTED_VALUE"""),"fd96f9f2-1b5f-425b-9b86-9463464af45f")</f>
        <v>fd96f9f2-1b5f-425b-9b86-9463464af45f</v>
      </c>
      <c r="C594" s="7">
        <f>IFERROR(__xludf.DUMMYFUNCTION("""COMPUTED_VALUE"""),45027.0)</f>
        <v>45027</v>
      </c>
      <c r="D594" s="8">
        <f>IFERROR(__xludf.DUMMYFUNCTION("""COMPUTED_VALUE"""),5.6860122E7)</f>
        <v>56860122</v>
      </c>
      <c r="E594" s="6" t="str">
        <f>IFERROR(__xludf.DUMMYFUNCTION("""COMPUTED_VALUE"""),"SERIES")</f>
        <v>SERIES</v>
      </c>
      <c r="F594" s="6" t="str">
        <f>IFERROR(__xludf.DUMMYFUNCTION("""COMPUTED_VALUE"""),"Sci-Fi")</f>
        <v>Sci-Fi</v>
      </c>
      <c r="G594" s="6">
        <f>IFERROR(__xludf.DUMMYFUNCTION("""COMPUTED_VALUE"""),136.0)</f>
        <v>136</v>
      </c>
      <c r="H594" s="6">
        <f>IFERROR(__xludf.DUMMYFUNCTION("""COMPUTED_VALUE"""),1.0)</f>
        <v>1</v>
      </c>
      <c r="I594" s="6" t="str">
        <f>IFERROR(__xludf.DUMMYFUNCTION("""COMPUTED_VALUE"""),"Tablet")</f>
        <v>Tablet</v>
      </c>
      <c r="J594" s="6" t="str">
        <f>IFERROR(__xludf.DUMMYFUNCTION("""COMPUTED_VALUE"""),"Uk")</f>
        <v>Uk</v>
      </c>
      <c r="K594" s="6" t="str">
        <f>IFERROR(__xludf.DUMMYFUNCTION("""COMPUTED_VALUE"""),"Premium")</f>
        <v>Premium</v>
      </c>
      <c r="L594" s="6">
        <f>IFERROR(__xludf.DUMMYFUNCTION("""COMPUTED_VALUE"""),0.0)</f>
        <v>0</v>
      </c>
      <c r="M594" s="6" t="str">
        <f>IFERROR(__xludf.DUMMYFUNCTION("""COMPUTED_VALUE"""),"2023-04")</f>
        <v>2023-04</v>
      </c>
    </row>
    <row r="595">
      <c r="A595" s="6" t="str">
        <f>IFERROR(__xludf.DUMMYFUNCTION("""COMPUTED_VALUE"""),"4915bd8e-3ec9-4645-8bcc-380fd28b1966")</f>
        <v>4915bd8e-3ec9-4645-8bcc-380fd28b1966</v>
      </c>
      <c r="B595" s="6" t="str">
        <f>IFERROR(__xludf.DUMMYFUNCTION("""COMPUTED_VALUE"""),"fda9b020-e7d0-4219-94f7-c3171e9e62f9")</f>
        <v>fda9b020-e7d0-4219-94f7-c3171e9e62f9</v>
      </c>
      <c r="C595" s="7">
        <f>IFERROR(__xludf.DUMMYFUNCTION("""COMPUTED_VALUE"""),45030.0)</f>
        <v>45030</v>
      </c>
      <c r="D595" s="8">
        <f>IFERROR(__xludf.DUMMYFUNCTION("""COMPUTED_VALUE"""),4460299.0)</f>
        <v>4460299</v>
      </c>
      <c r="E595" s="6" t="str">
        <f>IFERROR(__xludf.DUMMYFUNCTION("""COMPUTED_VALUE"""),"MOVIE")</f>
        <v>MOVIE</v>
      </c>
      <c r="F595" s="6" t="str">
        <f>IFERROR(__xludf.DUMMYFUNCTION("""COMPUTED_VALUE"""),"Comedy")</f>
        <v>Comedy</v>
      </c>
      <c r="G595" s="6">
        <f>IFERROR(__xludf.DUMMYFUNCTION("""COMPUTED_VALUE"""),118.0)</f>
        <v>118</v>
      </c>
      <c r="H595" s="6">
        <f>IFERROR(__xludf.DUMMYFUNCTION("""COMPUTED_VALUE"""),1.0)</f>
        <v>1</v>
      </c>
      <c r="I595" s="6" t="str">
        <f>IFERROR(__xludf.DUMMYFUNCTION("""COMPUTED_VALUE"""),"Desktop")</f>
        <v>Desktop</v>
      </c>
      <c r="J595" s="6" t="str">
        <f>IFERROR(__xludf.DUMMYFUNCTION("""COMPUTED_VALUE"""),"France")</f>
        <v>France</v>
      </c>
      <c r="K595" s="6" t="str">
        <f>IFERROR(__xludf.DUMMYFUNCTION("""COMPUTED_VALUE"""),"Basic")</f>
        <v>Basic</v>
      </c>
      <c r="L595" s="6">
        <f>IFERROR(__xludf.DUMMYFUNCTION("""COMPUTED_VALUE"""),0.0)</f>
        <v>0</v>
      </c>
      <c r="M595" s="6" t="str">
        <f>IFERROR(__xludf.DUMMYFUNCTION("""COMPUTED_VALUE"""),"2023-04")</f>
        <v>2023-04</v>
      </c>
    </row>
    <row r="596">
      <c r="A596" s="6" t="str">
        <f>IFERROR(__xludf.DUMMYFUNCTION("""COMPUTED_VALUE"""),"30ee0dd8-eff4-4770-8a82-8a9a74f0b87f")</f>
        <v>30ee0dd8-eff4-4770-8a82-8a9a74f0b87f</v>
      </c>
      <c r="B596" s="6" t="str">
        <f>IFERROR(__xludf.DUMMYFUNCTION("""COMPUTED_VALUE"""),"fdc36dff-abe7-4c4b-86a1-38ee8e2568fe")</f>
        <v>fdc36dff-abe7-4c4b-86a1-38ee8e2568fe</v>
      </c>
      <c r="C596" s="7">
        <f>IFERROR(__xludf.DUMMYFUNCTION("""COMPUTED_VALUE"""),44948.0)</f>
        <v>44948</v>
      </c>
      <c r="D596" s="8">
        <f>IFERROR(__xludf.DUMMYFUNCTION("""COMPUTED_VALUE"""),6447434.0)</f>
        <v>6447434</v>
      </c>
      <c r="E596" s="6" t="str">
        <f>IFERROR(__xludf.DUMMYFUNCTION("""COMPUTED_VALUE"""),"SERIES")</f>
        <v>SERIES</v>
      </c>
      <c r="F596" s="6" t="str">
        <f>IFERROR(__xludf.DUMMYFUNCTION("""COMPUTED_VALUE"""),"Sci-Fi")</f>
        <v>Sci-Fi</v>
      </c>
      <c r="G596" s="6">
        <f>IFERROR(__xludf.DUMMYFUNCTION("""COMPUTED_VALUE"""),111.0)</f>
        <v>111</v>
      </c>
      <c r="H596" s="6">
        <f>IFERROR(__xludf.DUMMYFUNCTION("""COMPUTED_VALUE"""),0.0)</f>
        <v>0</v>
      </c>
      <c r="I596" s="6" t="str">
        <f>IFERROR(__xludf.DUMMYFUNCTION("""COMPUTED_VALUE"""),"Mobile")</f>
        <v>Mobile</v>
      </c>
      <c r="J596" s="6" t="str">
        <f>IFERROR(__xludf.DUMMYFUNCTION("""COMPUTED_VALUE"""),"Germany")</f>
        <v>Germany</v>
      </c>
      <c r="K596" s="6" t="str">
        <f>IFERROR(__xludf.DUMMYFUNCTION("""COMPUTED_VALUE"""),"Basic")</f>
        <v>Basic</v>
      </c>
      <c r="L596" s="6">
        <f>IFERROR(__xludf.DUMMYFUNCTION("""COMPUTED_VALUE"""),0.0)</f>
        <v>0</v>
      </c>
      <c r="M596" s="6" t="str">
        <f>IFERROR(__xludf.DUMMYFUNCTION("""COMPUTED_VALUE"""),"2023-01")</f>
        <v>2023-01</v>
      </c>
    </row>
    <row r="597">
      <c r="A597" s="6" t="str">
        <f>IFERROR(__xludf.DUMMYFUNCTION("""COMPUTED_VALUE"""),"4e7e6db1-ef4c-418d-8cd6-b614683a9c59")</f>
        <v>4e7e6db1-ef4c-418d-8cd6-b614683a9c59</v>
      </c>
      <c r="B597" s="6" t="str">
        <f>IFERROR(__xludf.DUMMYFUNCTION("""COMPUTED_VALUE"""),"fde44283-e890-40ff-bd11-4aa2aeeaecc6")</f>
        <v>fde44283-e890-40ff-bd11-4aa2aeeaecc6</v>
      </c>
      <c r="C597" s="7">
        <f>IFERROR(__xludf.DUMMYFUNCTION("""COMPUTED_VALUE"""),45053.0)</f>
        <v>45053</v>
      </c>
      <c r="D597" s="8">
        <f>IFERROR(__xludf.DUMMYFUNCTION("""COMPUTED_VALUE"""),5.564246E7)</f>
        <v>55642460</v>
      </c>
      <c r="E597" s="6" t="str">
        <f>IFERROR(__xludf.DUMMYFUNCTION("""COMPUTED_VALUE"""),"DOCUMENTARY")</f>
        <v>DOCUMENTARY</v>
      </c>
      <c r="F597" s="6" t="str">
        <f>IFERROR(__xludf.DUMMYFUNCTION("""COMPUTED_VALUE"""),"Action")</f>
        <v>Action</v>
      </c>
      <c r="G597" s="6">
        <f>IFERROR(__xludf.DUMMYFUNCTION("""COMPUTED_VALUE"""),120.0)</f>
        <v>120</v>
      </c>
      <c r="H597" s="6">
        <f>IFERROR(__xludf.DUMMYFUNCTION("""COMPUTED_VALUE"""),0.0)</f>
        <v>0</v>
      </c>
      <c r="I597" s="6" t="str">
        <f>IFERROR(__xludf.DUMMYFUNCTION("""COMPUTED_VALUE"""),"Mobile")</f>
        <v>Mobile</v>
      </c>
      <c r="J597" s="6" t="str">
        <f>IFERROR(__xludf.DUMMYFUNCTION("""COMPUTED_VALUE"""),"Uk")</f>
        <v>Uk</v>
      </c>
      <c r="K597" s="6" t="str">
        <f>IFERROR(__xludf.DUMMYFUNCTION("""COMPUTED_VALUE"""),"Standard")</f>
        <v>Standard</v>
      </c>
      <c r="L597" s="6">
        <f>IFERROR(__xludf.DUMMYFUNCTION("""COMPUTED_VALUE"""),0.0)</f>
        <v>0</v>
      </c>
      <c r="M597" s="6" t="str">
        <f>IFERROR(__xludf.DUMMYFUNCTION("""COMPUTED_VALUE"""),"2023-05")</f>
        <v>2023-05</v>
      </c>
    </row>
    <row r="598">
      <c r="A598" s="6" t="str">
        <f>IFERROR(__xludf.DUMMYFUNCTION("""COMPUTED_VALUE"""),"cf2f1dd4-10e1-4c52-b35e-ab188709d316")</f>
        <v>cf2f1dd4-10e1-4c52-b35e-ab188709d316</v>
      </c>
      <c r="B598" s="6" t="str">
        <f>IFERROR(__xludf.DUMMYFUNCTION("""COMPUTED_VALUE"""),"fee3fc1b-5458-45ec-a98d-3ce53d29df96")</f>
        <v>fee3fc1b-5458-45ec-a98d-3ce53d29df96</v>
      </c>
      <c r="C598" s="7">
        <f>IFERROR(__xludf.DUMMYFUNCTION("""COMPUTED_VALUE"""),44982.0)</f>
        <v>44982</v>
      </c>
      <c r="D598" s="8">
        <f>IFERROR(__xludf.DUMMYFUNCTION("""COMPUTED_VALUE"""),8.3686849E7)</f>
        <v>83686849</v>
      </c>
      <c r="E598" s="6" t="str">
        <f>IFERROR(__xludf.DUMMYFUNCTION("""COMPUTED_VALUE"""),"SERIES")</f>
        <v>SERIES</v>
      </c>
      <c r="F598" s="6" t="str">
        <f>IFERROR(__xludf.DUMMYFUNCTION("""COMPUTED_VALUE"""),"Action")</f>
        <v>Action</v>
      </c>
      <c r="G598" s="6">
        <f>IFERROR(__xludf.DUMMYFUNCTION("""COMPUTED_VALUE"""),128.0)</f>
        <v>128</v>
      </c>
      <c r="H598" s="6">
        <f>IFERROR(__xludf.DUMMYFUNCTION("""COMPUTED_VALUE"""),1.0)</f>
        <v>1</v>
      </c>
      <c r="I598" s="6" t="str">
        <f>IFERROR(__xludf.DUMMYFUNCTION("""COMPUTED_VALUE"""),"Desktop")</f>
        <v>Desktop</v>
      </c>
      <c r="J598" s="6" t="str">
        <f>IFERROR(__xludf.DUMMYFUNCTION("""COMPUTED_VALUE"""),"Uk")</f>
        <v>Uk</v>
      </c>
      <c r="K598" s="6" t="str">
        <f>IFERROR(__xludf.DUMMYFUNCTION("""COMPUTED_VALUE"""),"Basic")</f>
        <v>Basic</v>
      </c>
      <c r="L598" s="6">
        <f>IFERROR(__xludf.DUMMYFUNCTION("""COMPUTED_VALUE"""),0.0)</f>
        <v>0</v>
      </c>
      <c r="M598" s="6" t="str">
        <f>IFERROR(__xludf.DUMMYFUNCTION("""COMPUTED_VALUE"""),"2023-02")</f>
        <v>2023-02</v>
      </c>
    </row>
    <row r="599">
      <c r="A599" s="6" t="str">
        <f>IFERROR(__xludf.DUMMYFUNCTION("""COMPUTED_VALUE"""),"f7564319-cff2-49f2-8b45-a0a63bed05a9")</f>
        <v>f7564319-cff2-49f2-8b45-a0a63bed05a9</v>
      </c>
      <c r="B599" s="6" t="str">
        <f>IFERROR(__xludf.DUMMYFUNCTION("""COMPUTED_VALUE"""),"ff34d7d5-c03a-46b5-937b-1cb59a7f0ed4")</f>
        <v>ff34d7d5-c03a-46b5-937b-1cb59a7f0ed4</v>
      </c>
      <c r="C599" s="7">
        <f>IFERROR(__xludf.DUMMYFUNCTION("""COMPUTED_VALUE"""),44958.0)</f>
        <v>44958</v>
      </c>
      <c r="D599" s="8">
        <f>IFERROR(__xludf.DUMMYFUNCTION("""COMPUTED_VALUE"""),1.7902182E7)</f>
        <v>17902182</v>
      </c>
      <c r="E599" s="6" t="str">
        <f>IFERROR(__xludf.DUMMYFUNCTION("""COMPUTED_VALUE"""),"DOCUMENTARY")</f>
        <v>DOCUMENTARY</v>
      </c>
      <c r="F599" s="6" t="str">
        <f>IFERROR(__xludf.DUMMYFUNCTION("""COMPUTED_VALUE"""),"Sci-Fi")</f>
        <v>Sci-Fi</v>
      </c>
      <c r="G599" s="6">
        <f>IFERROR(__xludf.DUMMYFUNCTION("""COMPUTED_VALUE"""),107.0)</f>
        <v>107</v>
      </c>
      <c r="H599" s="6">
        <f>IFERROR(__xludf.DUMMYFUNCTION("""COMPUTED_VALUE"""),1.0)</f>
        <v>1</v>
      </c>
      <c r="I599" s="6" t="str">
        <f>IFERROR(__xludf.DUMMYFUNCTION("""COMPUTED_VALUE"""),"Tablet")</f>
        <v>Tablet</v>
      </c>
      <c r="J599" s="6" t="str">
        <f>IFERROR(__xludf.DUMMYFUNCTION("""COMPUTED_VALUE"""),"France")</f>
        <v>France</v>
      </c>
      <c r="K599" s="6" t="str">
        <f>IFERROR(__xludf.DUMMYFUNCTION("""COMPUTED_VALUE"""),"Standard")</f>
        <v>Standard</v>
      </c>
      <c r="L599" s="6">
        <f>IFERROR(__xludf.DUMMYFUNCTION("""COMPUTED_VALUE"""),0.0)</f>
        <v>0</v>
      </c>
      <c r="M599" s="6" t="str">
        <f>IFERROR(__xludf.DUMMYFUNCTION("""COMPUTED_VALUE"""),"2023-02")</f>
        <v>2023-02</v>
      </c>
    </row>
    <row r="600">
      <c r="A600" s="6" t="str">
        <f>IFERROR(__xludf.DUMMYFUNCTION("""COMPUTED_VALUE"""),"f47383af-2b14-4841-8b96-eda5e737bad2")</f>
        <v>f47383af-2b14-4841-8b96-eda5e737bad2</v>
      </c>
      <c r="B600" s="6" t="str">
        <f>IFERROR(__xludf.DUMMYFUNCTION("""COMPUTED_VALUE"""),"ffc79d41-17af-4e0c-b4dc-daecf101b856")</f>
        <v>ffc79d41-17af-4e0c-b4dc-daecf101b856</v>
      </c>
      <c r="C600" s="7">
        <f>IFERROR(__xludf.DUMMYFUNCTION("""COMPUTED_VALUE"""),44995.0)</f>
        <v>44995</v>
      </c>
      <c r="D600" s="8">
        <f>IFERROR(__xludf.DUMMYFUNCTION("""COMPUTED_VALUE"""),3.8108495E7)</f>
        <v>38108495</v>
      </c>
      <c r="E600" s="6" t="str">
        <f>IFERROR(__xludf.DUMMYFUNCTION("""COMPUTED_VALUE"""),"MOVIE")</f>
        <v>MOVIE</v>
      </c>
      <c r="F600" s="6" t="str">
        <f>IFERROR(__xludf.DUMMYFUNCTION("""COMPUTED_VALUE"""),"Sci-Fi")</f>
        <v>Sci-Fi</v>
      </c>
      <c r="G600" s="6">
        <f>IFERROR(__xludf.DUMMYFUNCTION("""COMPUTED_VALUE"""),145.0)</f>
        <v>145</v>
      </c>
      <c r="H600" s="6">
        <f>IFERROR(__xludf.DUMMYFUNCTION("""COMPUTED_VALUE"""),0.0)</f>
        <v>0</v>
      </c>
      <c r="I600" s="6" t="str">
        <f>IFERROR(__xludf.DUMMYFUNCTION("""COMPUTED_VALUE"""),"Desktop")</f>
        <v>Desktop</v>
      </c>
      <c r="J600" s="6" t="str">
        <f>IFERROR(__xludf.DUMMYFUNCTION("""COMPUTED_VALUE"""),"Germany")</f>
        <v>Germany</v>
      </c>
      <c r="K600" s="6" t="str">
        <f>IFERROR(__xludf.DUMMYFUNCTION("""COMPUTED_VALUE"""),"Standard")</f>
        <v>Standard</v>
      </c>
      <c r="L600" s="6">
        <f>IFERROR(__xludf.DUMMYFUNCTION("""COMPUTED_VALUE"""),0.0)</f>
        <v>0</v>
      </c>
      <c r="M600" s="6" t="str">
        <f>IFERROR(__xludf.DUMMYFUNCTION("""COMPUTED_VALUE"""),"2023-03")</f>
        <v>2023-03</v>
      </c>
    </row>
    <row r="601">
      <c r="A601" s="6" t="str">
        <f>IFERROR(__xludf.DUMMYFUNCTION("""COMPUTED_VALUE"""),"8a2de86e-6910-424a-a03f-a8f01549cdee")</f>
        <v>8a2de86e-6910-424a-a03f-a8f01549cdee</v>
      </c>
      <c r="B601" s="6" t="str">
        <f>IFERROR(__xludf.DUMMYFUNCTION("""COMPUTED_VALUE"""),"ffef92b9-0356-469f-bf47-01b7b79e1ede")</f>
        <v>ffef92b9-0356-469f-bf47-01b7b79e1ede</v>
      </c>
      <c r="C601" s="7">
        <f>IFERROR(__xludf.DUMMYFUNCTION("""COMPUTED_VALUE"""),45129.0)</f>
        <v>45129</v>
      </c>
      <c r="D601" s="8">
        <f>IFERROR(__xludf.DUMMYFUNCTION("""COMPUTED_VALUE"""),1.6122895E7)</f>
        <v>16122895</v>
      </c>
      <c r="E601" s="6" t="str">
        <f>IFERROR(__xludf.DUMMYFUNCTION("""COMPUTED_VALUE"""),"DOCUMENTARY")</f>
        <v>DOCUMENTARY</v>
      </c>
      <c r="F601" s="6" t="str">
        <f>IFERROR(__xludf.DUMMYFUNCTION("""COMPUTED_VALUE"""),"Comedy")</f>
        <v>Comedy</v>
      </c>
      <c r="G601" s="6">
        <f>IFERROR(__xludf.DUMMYFUNCTION("""COMPUTED_VALUE"""),143.0)</f>
        <v>143</v>
      </c>
      <c r="H601" s="6">
        <f>IFERROR(__xludf.DUMMYFUNCTION("""COMPUTED_VALUE"""),0.0)</f>
        <v>0</v>
      </c>
      <c r="I601" s="6" t="str">
        <f>IFERROR(__xludf.DUMMYFUNCTION("""COMPUTED_VALUE"""),"Tablet")</f>
        <v>Tablet</v>
      </c>
      <c r="J601" s="6" t="str">
        <f>IFERROR(__xludf.DUMMYFUNCTION("""COMPUTED_VALUE"""),"France")</f>
        <v>France</v>
      </c>
      <c r="K601" s="6" t="str">
        <f>IFERROR(__xludf.DUMMYFUNCTION("""COMPUTED_VALUE"""),"Basic")</f>
        <v>Basic</v>
      </c>
      <c r="L601" s="6">
        <f>IFERROR(__xludf.DUMMYFUNCTION("""COMPUTED_VALUE"""),0.0)</f>
        <v>0</v>
      </c>
      <c r="M601" s="6" t="str">
        <f>IFERROR(__xludf.DUMMYFUNCTION("""COMPUTED_VALUE"""),"2023-07")</f>
        <v>2023-07</v>
      </c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8.75"/>
    <col customWidth="1" min="7" max="7" width="21.88"/>
  </cols>
  <sheetData>
    <row r="1" ht="236.25" customHeight="1">
      <c r="A1" s="12">
        <v>1.0</v>
      </c>
      <c r="G1" s="13" t="s">
        <v>1234</v>
      </c>
    </row>
    <row r="2" ht="225.75" customHeight="1">
      <c r="A2" s="12">
        <v>2.0</v>
      </c>
      <c r="G2" s="13" t="s">
        <v>1235</v>
      </c>
    </row>
    <row r="3" ht="231.75" customHeight="1">
      <c r="A3" s="12">
        <v>3.0</v>
      </c>
      <c r="G3" s="13" t="s">
        <v>1236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5.0"/>
    <col customWidth="1" min="3" max="3" width="13.5"/>
    <col customWidth="1" min="4" max="4" width="9.13"/>
    <col customWidth="1" min="5" max="5" width="12.88"/>
    <col customWidth="1" min="10" max="10" width="12.88"/>
    <col customWidth="1" min="12" max="12" width="14.0"/>
    <col customWidth="1" min="13" max="13" width="5.13"/>
    <col customWidth="1" min="14" max="14" width="12.0"/>
    <col customWidth="1" min="15" max="15" width="9.0"/>
  </cols>
  <sheetData>
    <row r="1" ht="26.25" customHeight="1">
      <c r="A1" s="14" t="s">
        <v>1237</v>
      </c>
      <c r="B1" s="15"/>
      <c r="C1" s="15"/>
      <c r="D1" s="16"/>
      <c r="F1" s="17" t="s">
        <v>1238</v>
      </c>
      <c r="G1" s="15"/>
      <c r="H1" s="15"/>
      <c r="I1" s="15"/>
      <c r="J1" s="16"/>
      <c r="L1" s="18" t="s">
        <v>1239</v>
      </c>
      <c r="M1" s="15"/>
      <c r="N1" s="15"/>
      <c r="O1" s="16"/>
    </row>
    <row r="2">
      <c r="A2" s="3" t="s">
        <v>1240</v>
      </c>
      <c r="B2" s="3" t="s">
        <v>1241</v>
      </c>
      <c r="C2" s="3" t="s">
        <v>1242</v>
      </c>
      <c r="D2" s="3" t="s">
        <v>1243</v>
      </c>
      <c r="F2" s="19" t="s">
        <v>5</v>
      </c>
      <c r="G2" s="19" t="s">
        <v>1244</v>
      </c>
      <c r="H2" s="19" t="s">
        <v>1245</v>
      </c>
      <c r="I2" s="19" t="s">
        <v>1246</v>
      </c>
      <c r="J2" s="19" t="s">
        <v>1247</v>
      </c>
      <c r="L2" s="20" t="s">
        <v>10</v>
      </c>
      <c r="M2" s="20" t="s">
        <v>1248</v>
      </c>
      <c r="N2" s="20" t="s">
        <v>1249</v>
      </c>
      <c r="O2" s="20" t="s">
        <v>1250</v>
      </c>
    </row>
    <row r="3">
      <c r="A3" s="21" t="s">
        <v>1251</v>
      </c>
      <c r="B3" s="22" t="s">
        <v>1252</v>
      </c>
      <c r="C3" s="23" t="s">
        <v>1253</v>
      </c>
      <c r="D3" s="21" t="s">
        <v>1254</v>
      </c>
      <c r="F3" s="24" t="s">
        <v>15</v>
      </c>
      <c r="G3" s="25">
        <v>124.0</v>
      </c>
      <c r="H3" s="25">
        <v>11853.0</v>
      </c>
      <c r="I3" s="25">
        <v>95.6</v>
      </c>
      <c r="J3" s="26">
        <v>0.69</v>
      </c>
      <c r="L3" s="24" t="s">
        <v>30</v>
      </c>
      <c r="M3" s="26">
        <v>205.0</v>
      </c>
      <c r="N3" s="26">
        <v>22.0</v>
      </c>
      <c r="O3" s="26">
        <v>10.73</v>
      </c>
    </row>
    <row r="4" ht="24.0" customHeight="1">
      <c r="A4" s="21" t="s">
        <v>1255</v>
      </c>
      <c r="B4" s="21" t="s">
        <v>1256</v>
      </c>
      <c r="C4" s="23" t="s">
        <v>1257</v>
      </c>
      <c r="D4" s="21" t="s">
        <v>1254</v>
      </c>
      <c r="F4" s="24" t="s">
        <v>42</v>
      </c>
      <c r="G4" s="25">
        <v>121.0</v>
      </c>
      <c r="H4" s="25">
        <v>11807.0</v>
      </c>
      <c r="I4" s="25">
        <v>97.6</v>
      </c>
      <c r="J4" s="26">
        <v>0.7</v>
      </c>
      <c r="L4" s="24" t="s">
        <v>44</v>
      </c>
      <c r="M4" s="26">
        <v>187.0</v>
      </c>
      <c r="N4" s="26">
        <v>17.0</v>
      </c>
      <c r="O4" s="26">
        <v>9.09</v>
      </c>
    </row>
    <row r="5" ht="23.25" customHeight="1">
      <c r="A5" s="21" t="s">
        <v>1258</v>
      </c>
      <c r="B5" s="21" t="s">
        <v>1259</v>
      </c>
      <c r="C5" s="23">
        <v>71.0</v>
      </c>
      <c r="D5" s="21" t="s">
        <v>1260</v>
      </c>
      <c r="F5" s="24" t="s">
        <v>26</v>
      </c>
      <c r="G5" s="25">
        <v>119.0</v>
      </c>
      <c r="H5" s="25">
        <v>10112.0</v>
      </c>
      <c r="I5" s="25">
        <v>85.0</v>
      </c>
      <c r="J5" s="26">
        <v>0.71</v>
      </c>
      <c r="L5" s="24" t="s">
        <v>18</v>
      </c>
      <c r="M5" s="26">
        <v>208.0</v>
      </c>
      <c r="N5" s="26">
        <v>11.0</v>
      </c>
      <c r="O5" s="26">
        <v>5.29</v>
      </c>
    </row>
    <row r="6" ht="23.25" customHeight="1">
      <c r="A6" s="21" t="s">
        <v>1261</v>
      </c>
      <c r="B6" s="21" t="s">
        <v>1262</v>
      </c>
      <c r="C6" s="23" t="s">
        <v>1263</v>
      </c>
      <c r="D6" s="21" t="s">
        <v>1260</v>
      </c>
      <c r="F6" s="24" t="s">
        <v>33</v>
      </c>
      <c r="G6" s="25">
        <v>118.0</v>
      </c>
      <c r="H6" s="25">
        <v>11542.0</v>
      </c>
      <c r="I6" s="25">
        <v>97.8</v>
      </c>
      <c r="J6" s="26">
        <v>0.71</v>
      </c>
    </row>
    <row r="7">
      <c r="F7" s="24" t="s">
        <v>38</v>
      </c>
      <c r="G7" s="25">
        <v>118.0</v>
      </c>
      <c r="H7" s="25">
        <v>11218.0</v>
      </c>
      <c r="I7" s="25">
        <v>95.1</v>
      </c>
      <c r="J7" s="26">
        <v>0.73</v>
      </c>
    </row>
    <row r="8">
      <c r="A8" s="27"/>
      <c r="B8" s="28"/>
      <c r="C8" s="28"/>
      <c r="D8" s="27"/>
      <c r="E8" s="27"/>
    </row>
    <row r="9">
      <c r="A9" s="29" t="s">
        <v>1264</v>
      </c>
      <c r="B9" s="15"/>
      <c r="C9" s="15"/>
      <c r="D9" s="15"/>
      <c r="E9" s="16"/>
    </row>
    <row r="10" ht="29.25" customHeight="1">
      <c r="A10" s="19" t="s">
        <v>1232</v>
      </c>
      <c r="B10" s="30" t="s">
        <v>1265</v>
      </c>
      <c r="C10" s="30" t="s">
        <v>1266</v>
      </c>
      <c r="D10" s="31" t="s">
        <v>1267</v>
      </c>
      <c r="E10" s="19" t="s">
        <v>1247</v>
      </c>
    </row>
    <row r="11">
      <c r="A11" s="32">
        <v>44927.0</v>
      </c>
      <c r="B11" s="33">
        <v>10500.0</v>
      </c>
      <c r="C11" s="34">
        <v>120.0</v>
      </c>
      <c r="D11" s="34">
        <v>87.5</v>
      </c>
      <c r="E11" s="34">
        <v>0.68</v>
      </c>
    </row>
    <row r="12">
      <c r="A12" s="32">
        <v>44958.0</v>
      </c>
      <c r="B12" s="33">
        <v>13200.0</v>
      </c>
      <c r="C12" s="34">
        <v>150.0</v>
      </c>
      <c r="D12" s="34">
        <v>88.0</v>
      </c>
      <c r="E12" s="34">
        <v>0.7</v>
      </c>
    </row>
    <row r="13">
      <c r="A13" s="32">
        <v>44986.0</v>
      </c>
      <c r="B13" s="33">
        <v>16500.0</v>
      </c>
      <c r="C13" s="34">
        <v>180.0</v>
      </c>
      <c r="D13" s="34">
        <v>91.7</v>
      </c>
      <c r="E13" s="34">
        <v>0.73</v>
      </c>
    </row>
    <row r="14">
      <c r="A14" s="35"/>
      <c r="B14" s="36"/>
      <c r="C14" s="37"/>
      <c r="D14" s="37"/>
      <c r="E14" s="37"/>
    </row>
    <row r="15">
      <c r="A15" s="35"/>
      <c r="B15" s="36"/>
      <c r="C15" s="37"/>
      <c r="D15" s="37"/>
      <c r="E15" s="37"/>
    </row>
    <row r="16">
      <c r="A16" s="35"/>
      <c r="B16" s="36"/>
      <c r="C16" s="37"/>
      <c r="D16" s="37"/>
      <c r="E16" s="37"/>
    </row>
    <row r="23">
      <c r="E23" s="1" t="s">
        <v>1268</v>
      </c>
    </row>
  </sheetData>
  <mergeCells count="4">
    <mergeCell ref="A1:D1"/>
    <mergeCell ref="F1:J1"/>
    <mergeCell ref="L1:O1"/>
    <mergeCell ref="A9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60.0"/>
    <col customWidth="1" min="5" max="5" width="13.0"/>
  </cols>
  <sheetData>
    <row r="1">
      <c r="A1" s="38" t="s">
        <v>1269</v>
      </c>
      <c r="B1" s="16"/>
      <c r="C1" s="39"/>
      <c r="D1" s="39"/>
      <c r="E1" s="39"/>
    </row>
    <row r="2" ht="50.25" customHeight="1">
      <c r="A2" s="40" t="s">
        <v>1270</v>
      </c>
      <c r="B2" s="22" t="s">
        <v>1271</v>
      </c>
      <c r="C2" s="1"/>
      <c r="D2" s="1"/>
      <c r="E2" s="10"/>
    </row>
    <row r="3">
      <c r="A3" s="40" t="s">
        <v>1272</v>
      </c>
      <c r="B3" s="22" t="s">
        <v>1273</v>
      </c>
    </row>
    <row r="4">
      <c r="A4" s="40" t="s">
        <v>1274</v>
      </c>
      <c r="B4" s="22" t="s">
        <v>1275</v>
      </c>
    </row>
    <row r="5">
      <c r="A5" s="40" t="s">
        <v>1276</v>
      </c>
      <c r="B5" s="22" t="s">
        <v>1277</v>
      </c>
    </row>
    <row r="6">
      <c r="A6" s="41" t="s">
        <v>1278</v>
      </c>
      <c r="B6" s="22" t="s">
        <v>1279</v>
      </c>
    </row>
    <row r="7">
      <c r="A7" s="40" t="s">
        <v>1280</v>
      </c>
      <c r="B7" s="21" t="s">
        <v>1281</v>
      </c>
    </row>
    <row r="8">
      <c r="A8" s="40" t="s">
        <v>1282</v>
      </c>
      <c r="B8" s="22" t="s">
        <v>1283</v>
      </c>
    </row>
  </sheetData>
  <mergeCells count="1">
    <mergeCell ref="A1:B1"/>
  </mergeCells>
  <drawing r:id="rId1"/>
</worksheet>
</file>